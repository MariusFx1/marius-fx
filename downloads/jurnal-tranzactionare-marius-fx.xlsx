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nal" sheetId="1" state="visible" r:id="rId1"/>
    <sheet xmlns:r="http://schemas.openxmlformats.org/officeDocument/2006/relationships" name="Rezumat" sheetId="2" state="visible" r:id="rId2"/>
    <sheet xmlns:r="http://schemas.openxmlformats.org/officeDocument/2006/relationships" name="Cum completezi" sheetId="3" state="visible" r:id="rId3"/>
  </sheets>
  <definedNames>
    <definedName name="_xlnm._FilterDatabase" localSheetId="0" hidden="1">'Jurnal'!$A$3:$R$103</definedName>
    <definedName name="_xlnm.Print_Titles" localSheetId="0">'Jurnal'!$3:$3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D.MM.YYYY"/>
    <numFmt numFmtId="165" formatCode="0.00000"/>
    <numFmt numFmtId="166" formatCode="0.0&quot;%&quot;"/>
    <numFmt numFmtId="167" formatCode="&quot;1:&quot;0.0#"/>
    <numFmt numFmtId="168" formatCode="+0.00&quot;R&quot;;-0.00&quot;R&quot;;0.00&quot;R&quot;"/>
    <numFmt numFmtId="169" formatCode="0.0%"/>
    <numFmt numFmtId="170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B6B82"/>
      <sz val="9.5"/>
    </font>
    <font>
      <name val="Calibri"/>
      <b val="1"/>
      <color rgb="00FFFFFF"/>
      <sz val="10.5"/>
    </font>
    <font>
      <name val="Calibri"/>
      <color rgb="001F2A3C"/>
      <sz val="10.5"/>
    </font>
    <font>
      <name val="Calibri"/>
      <b val="1"/>
      <color rgb="001F2A3C"/>
      <sz val="10.5"/>
    </font>
    <font>
      <name val="Calibri"/>
      <b val="1"/>
      <color rgb="00FFFFFF"/>
      <sz val="15"/>
    </font>
    <font>
      <name val="Calibri"/>
      <b val="1"/>
      <color rgb="001F2A3C"/>
      <sz val="11"/>
    </font>
    <font>
      <name val="Calibri"/>
      <color rgb="005B6B82"/>
      <sz val="11"/>
    </font>
    <font>
      <name val="Calibri"/>
      <b val="1"/>
      <color rgb="000B1F3A"/>
      <sz val="12"/>
    </font>
    <font>
      <name val="Calibri"/>
      <b val="1"/>
      <color rgb="0016A34A"/>
      <sz val="11"/>
    </font>
    <font>
      <name val="Calibri"/>
      <color rgb="001F2A3C"/>
      <sz val="11"/>
    </font>
    <font>
      <name val="Calibri"/>
      <b val="1"/>
      <color rgb="0092400E"/>
      <sz val="11.5"/>
    </font>
    <font>
      <name val="Calibri"/>
      <i val="1"/>
      <color rgb="001F2A3C"/>
      <sz val="10.5"/>
    </font>
    <font>
      <name val="Calibri"/>
      <i val="1"/>
      <color rgb="005B6B82"/>
      <sz val="10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AF6EE"/>
      </patternFill>
    </fill>
    <fill>
      <patternFill patternType="solid">
        <fgColor rgb="00F4F7FB"/>
      </patternFill>
    </fill>
    <fill>
      <patternFill patternType="solid">
        <fgColor rgb="00FEF3C7"/>
      </patternFill>
    </fill>
    <fill>
      <patternFill patternType="solid">
        <fgColor rgb="00FFFBEB"/>
      </patternFill>
    </fill>
  </fills>
  <borders count="5">
    <border>
      <left/>
      <right/>
      <top/>
      <bottom/>
      <diagonal/>
    </border>
    <border>
      <left style="thin">
        <color rgb="0014294A"/>
      </left>
      <right style="thin">
        <color rgb="0014294A"/>
      </right>
      <top style="thin">
        <color rgb="000B1F3A"/>
      </top>
      <bottom style="medium">
        <color rgb="0016A34A"/>
      </bottom>
    </border>
    <border>
      <left style="thin">
        <color rgb="00D5DCE6"/>
      </left>
      <right style="thin">
        <color rgb="00D5DCE6"/>
      </right>
      <top style="thin">
        <color rgb="00D5DCE6"/>
      </top>
      <bottom style="thin">
        <color rgb="00D5DCE6"/>
      </bottom>
    </border>
    <border>
      <bottom style="medium">
        <color rgb="0016A34A"/>
      </bottom>
    </border>
    <border>
      <bottom style="thin">
        <color rgb="00D5DCE6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center" vertical="center" wrapText="1"/>
    </xf>
    <xf numFmtId="1" fontId="4" fillId="3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5" fontId="4" fillId="0" borderId="2" applyAlignment="1" pivotButton="0" quotePrefix="0" xfId="0">
      <alignment horizontal="right" vertical="center"/>
    </xf>
    <xf numFmtId="2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4" fontId="4" fillId="0" borderId="2" applyAlignment="1" pivotButton="0" quotePrefix="0" xfId="0">
      <alignment horizontal="right" vertical="center"/>
    </xf>
    <xf numFmtId="167" fontId="4" fillId="3" borderId="2" applyAlignment="1" pivotButton="0" quotePrefix="0" xfId="0">
      <alignment horizontal="center" vertical="center"/>
    </xf>
    <xf numFmtId="168" fontId="5" fillId="3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165" fontId="4" fillId="4" borderId="2" applyAlignment="1" pivotButton="0" quotePrefix="0" xfId="0">
      <alignment horizontal="right" vertical="center"/>
    </xf>
    <xf numFmtId="2" fontId="4" fillId="4" borderId="2" applyAlignment="1" pivotButton="0" quotePrefix="0" xfId="0">
      <alignment horizontal="center" vertical="center"/>
    </xf>
    <xf numFmtId="166" fontId="4" fillId="4" borderId="2" applyAlignment="1" pivotButton="0" quotePrefix="0" xfId="0">
      <alignment horizontal="center" vertical="center"/>
    </xf>
    <xf numFmtId="4" fontId="4" fillId="4" borderId="2" applyAlignment="1" pivotButton="0" quotePrefix="0" xfId="0">
      <alignment horizontal="right" vertical="center"/>
    </xf>
    <xf numFmtId="0" fontId="6" fillId="2" borderId="0" applyAlignment="1" pivotButton="0" quotePrefix="0" xfId="0">
      <alignment vertical="center" indent="1"/>
    </xf>
    <xf numFmtId="0" fontId="3" fillId="2" borderId="3" applyAlignment="1" pivotButton="0" quotePrefix="0" xfId="0">
      <alignment horizontal="left" vertical="center" indent="1"/>
    </xf>
    <xf numFmtId="0" fontId="3" fillId="2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 indent="1"/>
    </xf>
    <xf numFmtId="1" fontId="9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 vertical="center" indent="1"/>
    </xf>
    <xf numFmtId="0" fontId="7" fillId="4" borderId="4" applyAlignment="1" pivotButton="0" quotePrefix="0" xfId="0">
      <alignment horizontal="left" vertical="center" indent="1"/>
    </xf>
    <xf numFmtId="1" fontId="7" fillId="4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left" vertical="center" indent="1"/>
    </xf>
    <xf numFmtId="1" fontId="7" fillId="0" borderId="4" applyAlignment="1" pivotButton="0" quotePrefix="0" xfId="0">
      <alignment horizontal="center" vertical="center"/>
    </xf>
    <xf numFmtId="169" fontId="7" fillId="0" borderId="4" applyAlignment="1" pivotButton="0" quotePrefix="0" xfId="0">
      <alignment horizontal="center" vertical="center"/>
    </xf>
    <xf numFmtId="168" fontId="7" fillId="4" borderId="4" applyAlignment="1" pivotButton="0" quotePrefix="0" xfId="0">
      <alignment horizontal="center" vertical="center"/>
    </xf>
    <xf numFmtId="168" fontId="7" fillId="0" borderId="4" applyAlignment="1" pivotButton="0" quotePrefix="0" xfId="0">
      <alignment horizontal="center" vertical="center"/>
    </xf>
    <xf numFmtId="169" fontId="7" fillId="4" borderId="4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 indent="1"/>
    </xf>
    <xf numFmtId="0" fontId="10" fillId="0" borderId="0" applyAlignment="1" pivotButton="0" quotePrefix="0" xfId="0">
      <alignment horizontal="center" vertical="top"/>
    </xf>
    <xf numFmtId="0" fontId="11" fillId="0" borderId="0" applyAlignment="1" pivotButton="0" quotePrefix="0" xfId="0">
      <alignment vertical="top" wrapText="1"/>
    </xf>
    <xf numFmtId="0" fontId="12" fillId="5" borderId="0" applyAlignment="1" pivotButton="0" quotePrefix="0" xfId="0">
      <alignment vertical="center" indent="1"/>
    </xf>
    <xf numFmtId="0" fontId="3" fillId="2" borderId="2" applyAlignment="1" pivotButton="0" quotePrefix="0" xfId="0">
      <alignment horizontal="center" vertical="center" wrapText="1"/>
    </xf>
    <xf numFmtId="1" fontId="13" fillId="6" borderId="2" applyAlignment="1" pivotButton="0" quotePrefix="0" xfId="0">
      <alignment horizontal="center" vertical="center" wrapText="1"/>
    </xf>
    <xf numFmtId="164" fontId="13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left" vertical="center" wrapText="1"/>
    </xf>
    <xf numFmtId="165" fontId="13" fillId="6" borderId="2" applyAlignment="1" pivotButton="0" quotePrefix="0" xfId="0">
      <alignment horizontal="left" vertical="center" wrapText="1"/>
    </xf>
    <xf numFmtId="2" fontId="13" fillId="6" borderId="2" applyAlignment="1" pivotButton="0" quotePrefix="0" xfId="0">
      <alignment horizontal="center" vertical="center" wrapText="1"/>
    </xf>
    <xf numFmtId="166" fontId="13" fillId="6" borderId="2" applyAlignment="1" pivotButton="0" quotePrefix="0" xfId="0">
      <alignment horizontal="center" vertical="center" wrapText="1"/>
    </xf>
    <xf numFmtId="4" fontId="13" fillId="6" borderId="2" applyAlignment="1" pivotButton="0" quotePrefix="0" xfId="0">
      <alignment horizontal="left" vertical="center" wrapText="1"/>
    </xf>
    <xf numFmtId="167" fontId="13" fillId="6" borderId="2" applyAlignment="1" pivotButton="0" quotePrefix="0" xfId="0">
      <alignment horizontal="center" vertical="center" wrapText="1"/>
    </xf>
    <xf numFmtId="168" fontId="13" fillId="6" borderId="2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 indent="1"/>
    </xf>
  </cellXfs>
  <cellStyles count="1">
    <cellStyle name="Normal" xfId="0" builtinId="0" hidden="0"/>
  </cellStyles>
  <dxfs count="4">
    <dxf>
      <font>
        <b val="1"/>
        <color rgb="0015803D"/>
      </font>
    </dxf>
    <dxf>
      <font>
        <b val="1"/>
        <color rgb="00B91C1C"/>
      </font>
    </dxf>
    <dxf>
      <font>
        <b val="1"/>
        <color rgb="00B91C1C"/>
      </font>
      <fill>
        <patternFill patternType="solid">
          <fgColor rgb="00FDE2E2"/>
        </patternFill>
      </fill>
    </dxf>
    <dxf>
      <font>
        <b val="1"/>
        <color rgb="0015803D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R103"/>
  <sheetViews>
    <sheetView showGridLines="0" zoomScale="10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10" customWidth="1" min="4" max="4"/>
    <col width="12" customWidth="1" min="5" max="5"/>
    <col width="32" customWidth="1" min="6" max="6"/>
    <col width="12" customWidth="1" min="7" max="7"/>
    <col width="12" customWidth="1" min="8" max="8"/>
    <col width="12" customWidth="1" min="9" max="9"/>
    <col width="8" customWidth="1" min="10" max="10"/>
    <col width="8" customWidth="1" min="11" max="11"/>
    <col width="12" customWidth="1" min="12" max="12"/>
    <col width="11" customWidth="1" min="13" max="13"/>
    <col width="11" customWidth="1" min="14" max="14"/>
    <col width="11" customWidth="1" min="15" max="15"/>
    <col width="12" customWidth="1" min="16" max="16"/>
    <col width="20" customWidth="1" min="17" max="17"/>
    <col width="36" customWidth="1" min="18" max="18"/>
  </cols>
  <sheetData>
    <row r="1" ht="34" customHeight="1">
      <c r="A1" s="1" t="inlineStr">
        <is>
          <t>Jurnal de tranzacționare — Marius FX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2" customHeight="1">
      <c r="A2" s="3" t="inlineStr">
        <is>
          <t>Completează un rând pentru fiecare tranzacție. Coloanele verzi se calculează automat. Vezi foaia „Cum completezi” pentru explicații și un exemplu. Conținut educațional, nu consultanță financiară.</t>
        </is>
      </c>
    </row>
    <row r="3" ht="36" customHeight="1">
      <c r="A3" s="4" t="inlineStr">
        <is>
          <t>Nr.</t>
        </is>
      </c>
      <c r="B3" s="4" t="inlineStr">
        <is>
          <t>Data</t>
        </is>
      </c>
      <c r="C3" s="4" t="inlineStr">
        <is>
          <t>Pereche</t>
        </is>
      </c>
      <c r="D3" s="4" t="inlineStr">
        <is>
          <t>Direcție</t>
        </is>
      </c>
      <c r="E3" s="4" t="inlineStr">
        <is>
          <t>Sesiune</t>
        </is>
      </c>
      <c r="F3" s="4" t="inlineStr">
        <is>
          <t>Setup / motiv intrare</t>
        </is>
      </c>
      <c r="G3" s="4" t="inlineStr">
        <is>
          <t>Preț intrare</t>
        </is>
      </c>
      <c r="H3" s="4" t="inlineStr">
        <is>
          <t>Stop loss</t>
        </is>
      </c>
      <c r="I3" s="4" t="inlineStr">
        <is>
          <t>Take profit</t>
        </is>
      </c>
      <c r="J3" s="4" t="inlineStr">
        <is>
          <t>Lot</t>
        </is>
      </c>
      <c r="K3" s="4" t="inlineStr">
        <is>
          <t>Risc %</t>
        </is>
      </c>
      <c r="L3" s="4" t="inlineStr">
        <is>
          <t>Risc în bani</t>
        </is>
      </c>
      <c r="M3" s="4" t="inlineStr">
        <is>
          <t>R:R planificat</t>
        </is>
      </c>
      <c r="N3" s="4" t="inlineStr">
        <is>
          <t>Rezultat</t>
        </is>
      </c>
      <c r="O3" s="4" t="inlineStr">
        <is>
          <t>Rezultat în R</t>
        </is>
      </c>
      <c r="P3" s="4" t="inlineStr">
        <is>
          <t>Am respectat planul?</t>
        </is>
      </c>
      <c r="Q3" s="4" t="inlineStr">
        <is>
          <t>Emoții</t>
        </is>
      </c>
      <c r="R3" s="4" t="inlineStr">
        <is>
          <t>Lecție / ce îmbunătățesc</t>
        </is>
      </c>
    </row>
    <row r="4" ht="21" customHeight="1">
      <c r="A4" s="5">
        <f>IF(B4="","",ROW()-3)</f>
        <v/>
      </c>
      <c r="B4" s="6" t="n"/>
      <c r="C4" s="7" t="n"/>
      <c r="D4" s="7" t="n"/>
      <c r="E4" s="7" t="n"/>
      <c r="F4" s="8" t="n"/>
      <c r="G4" s="9" t="n"/>
      <c r="H4" s="9" t="n"/>
      <c r="I4" s="9" t="n"/>
      <c r="J4" s="10" t="n"/>
      <c r="K4" s="11" t="n"/>
      <c r="L4" s="12" t="n"/>
      <c r="M4" s="13">
        <f>IF(OR(G4="",H4="",I4=""),"",IFERROR(ROUND(ABS(I4-G4)/ABS(G4-H4),2),""))</f>
        <v/>
      </c>
      <c r="N4" s="7" t="n"/>
      <c r="O4" s="14">
        <f>IF(N4="TP",IF(M4="","",M4),IF(N4="SL",-1,IF(N4="BE",0,"")))</f>
        <v/>
      </c>
      <c r="P4" s="7" t="n"/>
      <c r="Q4" s="8" t="n"/>
      <c r="R4" s="8" t="n"/>
    </row>
    <row r="5" ht="21" customHeight="1">
      <c r="A5" s="5">
        <f>IF(B5="","",ROW()-3)</f>
        <v/>
      </c>
      <c r="B5" s="15" t="n"/>
      <c r="C5" s="16" t="n"/>
      <c r="D5" s="16" t="n"/>
      <c r="E5" s="16" t="n"/>
      <c r="F5" s="17" t="n"/>
      <c r="G5" s="18" t="n"/>
      <c r="H5" s="18" t="n"/>
      <c r="I5" s="18" t="n"/>
      <c r="J5" s="19" t="n"/>
      <c r="K5" s="20" t="n"/>
      <c r="L5" s="21" t="n"/>
      <c r="M5" s="13">
        <f>IF(OR(G5="",H5="",I5=""),"",IFERROR(ROUND(ABS(I5-G5)/ABS(G5-H5),2),""))</f>
        <v/>
      </c>
      <c r="N5" s="16" t="n"/>
      <c r="O5" s="14">
        <f>IF(N5="TP",IF(M5="","",M5),IF(N5="SL",-1,IF(N5="BE",0,"")))</f>
        <v/>
      </c>
      <c r="P5" s="16" t="n"/>
      <c r="Q5" s="17" t="n"/>
      <c r="R5" s="17" t="n"/>
    </row>
    <row r="6" ht="21" customHeight="1">
      <c r="A6" s="5">
        <f>IF(B6="","",ROW()-3)</f>
        <v/>
      </c>
      <c r="B6" s="6" t="n"/>
      <c r="C6" s="7" t="n"/>
      <c r="D6" s="7" t="n"/>
      <c r="E6" s="7" t="n"/>
      <c r="F6" s="8" t="n"/>
      <c r="G6" s="9" t="n"/>
      <c r="H6" s="9" t="n"/>
      <c r="I6" s="9" t="n"/>
      <c r="J6" s="10" t="n"/>
      <c r="K6" s="11" t="n"/>
      <c r="L6" s="12" t="n"/>
      <c r="M6" s="13">
        <f>IF(OR(G6="",H6="",I6=""),"",IFERROR(ROUND(ABS(I6-G6)/ABS(G6-H6),2),""))</f>
        <v/>
      </c>
      <c r="N6" s="7" t="n"/>
      <c r="O6" s="14">
        <f>IF(N6="TP",IF(M6="","",M6),IF(N6="SL",-1,IF(N6="BE",0,"")))</f>
        <v/>
      </c>
      <c r="P6" s="7" t="n"/>
      <c r="Q6" s="8" t="n"/>
      <c r="R6" s="8" t="n"/>
    </row>
    <row r="7" ht="21" customHeight="1">
      <c r="A7" s="5">
        <f>IF(B7="","",ROW()-3)</f>
        <v/>
      </c>
      <c r="B7" s="15" t="n"/>
      <c r="C7" s="16" t="n"/>
      <c r="D7" s="16" t="n"/>
      <c r="E7" s="16" t="n"/>
      <c r="F7" s="17" t="n"/>
      <c r="G7" s="18" t="n"/>
      <c r="H7" s="18" t="n"/>
      <c r="I7" s="18" t="n"/>
      <c r="J7" s="19" t="n"/>
      <c r="K7" s="20" t="n"/>
      <c r="L7" s="21" t="n"/>
      <c r="M7" s="13">
        <f>IF(OR(G7="",H7="",I7=""),"",IFERROR(ROUND(ABS(I7-G7)/ABS(G7-H7),2),""))</f>
        <v/>
      </c>
      <c r="N7" s="16" t="n"/>
      <c r="O7" s="14">
        <f>IF(N7="TP",IF(M7="","",M7),IF(N7="SL",-1,IF(N7="BE",0,"")))</f>
        <v/>
      </c>
      <c r="P7" s="16" t="n"/>
      <c r="Q7" s="17" t="n"/>
      <c r="R7" s="17" t="n"/>
    </row>
    <row r="8" ht="21" customHeight="1">
      <c r="A8" s="5">
        <f>IF(B8="","",ROW()-3)</f>
        <v/>
      </c>
      <c r="B8" s="6" t="n"/>
      <c r="C8" s="7" t="n"/>
      <c r="D8" s="7" t="n"/>
      <c r="E8" s="7" t="n"/>
      <c r="F8" s="8" t="n"/>
      <c r="G8" s="9" t="n"/>
      <c r="H8" s="9" t="n"/>
      <c r="I8" s="9" t="n"/>
      <c r="J8" s="10" t="n"/>
      <c r="K8" s="11" t="n"/>
      <c r="L8" s="12" t="n"/>
      <c r="M8" s="13">
        <f>IF(OR(G8="",H8="",I8=""),"",IFERROR(ROUND(ABS(I8-G8)/ABS(G8-H8),2),""))</f>
        <v/>
      </c>
      <c r="N8" s="7" t="n"/>
      <c r="O8" s="14">
        <f>IF(N8="TP",IF(M8="","",M8),IF(N8="SL",-1,IF(N8="BE",0,"")))</f>
        <v/>
      </c>
      <c r="P8" s="7" t="n"/>
      <c r="Q8" s="8" t="n"/>
      <c r="R8" s="8" t="n"/>
    </row>
    <row r="9" ht="21" customHeight="1">
      <c r="A9" s="5">
        <f>IF(B9="","",ROW()-3)</f>
        <v/>
      </c>
      <c r="B9" s="15" t="n"/>
      <c r="C9" s="16" t="n"/>
      <c r="D9" s="16" t="n"/>
      <c r="E9" s="16" t="n"/>
      <c r="F9" s="17" t="n"/>
      <c r="G9" s="18" t="n"/>
      <c r="H9" s="18" t="n"/>
      <c r="I9" s="18" t="n"/>
      <c r="J9" s="19" t="n"/>
      <c r="K9" s="20" t="n"/>
      <c r="L9" s="21" t="n"/>
      <c r="M9" s="13">
        <f>IF(OR(G9="",H9="",I9=""),"",IFERROR(ROUND(ABS(I9-G9)/ABS(G9-H9),2),""))</f>
        <v/>
      </c>
      <c r="N9" s="16" t="n"/>
      <c r="O9" s="14">
        <f>IF(N9="TP",IF(M9="","",M9),IF(N9="SL",-1,IF(N9="BE",0,"")))</f>
        <v/>
      </c>
      <c r="P9" s="16" t="n"/>
      <c r="Q9" s="17" t="n"/>
      <c r="R9" s="17" t="n"/>
    </row>
    <row r="10" ht="21" customHeight="1">
      <c r="A10" s="5">
        <f>IF(B10="","",ROW()-3)</f>
        <v/>
      </c>
      <c r="B10" s="6" t="n"/>
      <c r="C10" s="7" t="n"/>
      <c r="D10" s="7" t="n"/>
      <c r="E10" s="7" t="n"/>
      <c r="F10" s="8" t="n"/>
      <c r="G10" s="9" t="n"/>
      <c r="H10" s="9" t="n"/>
      <c r="I10" s="9" t="n"/>
      <c r="J10" s="10" t="n"/>
      <c r="K10" s="11" t="n"/>
      <c r="L10" s="12" t="n"/>
      <c r="M10" s="13">
        <f>IF(OR(G10="",H10="",I10=""),"",IFERROR(ROUND(ABS(I10-G10)/ABS(G10-H10),2),""))</f>
        <v/>
      </c>
      <c r="N10" s="7" t="n"/>
      <c r="O10" s="14">
        <f>IF(N10="TP",IF(M10="","",M10),IF(N10="SL",-1,IF(N10="BE",0,"")))</f>
        <v/>
      </c>
      <c r="P10" s="7" t="n"/>
      <c r="Q10" s="8" t="n"/>
      <c r="R10" s="8" t="n"/>
    </row>
    <row r="11" ht="21" customHeight="1">
      <c r="A11" s="5">
        <f>IF(B11="","",ROW()-3)</f>
        <v/>
      </c>
      <c r="B11" s="15" t="n"/>
      <c r="C11" s="16" t="n"/>
      <c r="D11" s="16" t="n"/>
      <c r="E11" s="16" t="n"/>
      <c r="F11" s="17" t="n"/>
      <c r="G11" s="18" t="n"/>
      <c r="H11" s="18" t="n"/>
      <c r="I11" s="18" t="n"/>
      <c r="J11" s="19" t="n"/>
      <c r="K11" s="20" t="n"/>
      <c r="L11" s="21" t="n"/>
      <c r="M11" s="13">
        <f>IF(OR(G11="",H11="",I11=""),"",IFERROR(ROUND(ABS(I11-G11)/ABS(G11-H11),2),""))</f>
        <v/>
      </c>
      <c r="N11" s="16" t="n"/>
      <c r="O11" s="14">
        <f>IF(N11="TP",IF(M11="","",M11),IF(N11="SL",-1,IF(N11="BE",0,"")))</f>
        <v/>
      </c>
      <c r="P11" s="16" t="n"/>
      <c r="Q11" s="17" t="n"/>
      <c r="R11" s="17" t="n"/>
    </row>
    <row r="12" ht="21" customHeight="1">
      <c r="A12" s="5">
        <f>IF(B12="","",ROW()-3)</f>
        <v/>
      </c>
      <c r="B12" s="6" t="n"/>
      <c r="C12" s="7" t="n"/>
      <c r="D12" s="7" t="n"/>
      <c r="E12" s="7" t="n"/>
      <c r="F12" s="8" t="n"/>
      <c r="G12" s="9" t="n"/>
      <c r="H12" s="9" t="n"/>
      <c r="I12" s="9" t="n"/>
      <c r="J12" s="10" t="n"/>
      <c r="K12" s="11" t="n"/>
      <c r="L12" s="12" t="n"/>
      <c r="M12" s="13">
        <f>IF(OR(G12="",H12="",I12=""),"",IFERROR(ROUND(ABS(I12-G12)/ABS(G12-H12),2),""))</f>
        <v/>
      </c>
      <c r="N12" s="7" t="n"/>
      <c r="O12" s="14">
        <f>IF(N12="TP",IF(M12="","",M12),IF(N12="SL",-1,IF(N12="BE",0,"")))</f>
        <v/>
      </c>
      <c r="P12" s="7" t="n"/>
      <c r="Q12" s="8" t="n"/>
      <c r="R12" s="8" t="n"/>
    </row>
    <row r="13" ht="21" customHeight="1">
      <c r="A13" s="5">
        <f>IF(B13="","",ROW()-3)</f>
        <v/>
      </c>
      <c r="B13" s="15" t="n"/>
      <c r="C13" s="16" t="n"/>
      <c r="D13" s="16" t="n"/>
      <c r="E13" s="16" t="n"/>
      <c r="F13" s="17" t="n"/>
      <c r="G13" s="18" t="n"/>
      <c r="H13" s="18" t="n"/>
      <c r="I13" s="18" t="n"/>
      <c r="J13" s="19" t="n"/>
      <c r="K13" s="20" t="n"/>
      <c r="L13" s="21" t="n"/>
      <c r="M13" s="13">
        <f>IF(OR(G13="",H13="",I13=""),"",IFERROR(ROUND(ABS(I13-G13)/ABS(G13-H13),2),""))</f>
        <v/>
      </c>
      <c r="N13" s="16" t="n"/>
      <c r="O13" s="14">
        <f>IF(N13="TP",IF(M13="","",M13),IF(N13="SL",-1,IF(N13="BE",0,"")))</f>
        <v/>
      </c>
      <c r="P13" s="16" t="n"/>
      <c r="Q13" s="17" t="n"/>
      <c r="R13" s="17" t="n"/>
    </row>
    <row r="14" ht="21" customHeight="1">
      <c r="A14" s="5">
        <f>IF(B14="","",ROW()-3)</f>
        <v/>
      </c>
      <c r="B14" s="6" t="n"/>
      <c r="C14" s="7" t="n"/>
      <c r="D14" s="7" t="n"/>
      <c r="E14" s="7" t="n"/>
      <c r="F14" s="8" t="n"/>
      <c r="G14" s="9" t="n"/>
      <c r="H14" s="9" t="n"/>
      <c r="I14" s="9" t="n"/>
      <c r="J14" s="10" t="n"/>
      <c r="K14" s="11" t="n"/>
      <c r="L14" s="12" t="n"/>
      <c r="M14" s="13">
        <f>IF(OR(G14="",H14="",I14=""),"",IFERROR(ROUND(ABS(I14-G14)/ABS(G14-H14),2),""))</f>
        <v/>
      </c>
      <c r="N14" s="7" t="n"/>
      <c r="O14" s="14">
        <f>IF(N14="TP",IF(M14="","",M14),IF(N14="SL",-1,IF(N14="BE",0,"")))</f>
        <v/>
      </c>
      <c r="P14" s="7" t="n"/>
      <c r="Q14" s="8" t="n"/>
      <c r="R14" s="8" t="n"/>
    </row>
    <row r="15" ht="21" customHeight="1">
      <c r="A15" s="5">
        <f>IF(B15="","",ROW()-3)</f>
        <v/>
      </c>
      <c r="B15" s="15" t="n"/>
      <c r="C15" s="16" t="n"/>
      <c r="D15" s="16" t="n"/>
      <c r="E15" s="16" t="n"/>
      <c r="F15" s="17" t="n"/>
      <c r="G15" s="18" t="n"/>
      <c r="H15" s="18" t="n"/>
      <c r="I15" s="18" t="n"/>
      <c r="J15" s="19" t="n"/>
      <c r="K15" s="20" t="n"/>
      <c r="L15" s="21" t="n"/>
      <c r="M15" s="13">
        <f>IF(OR(G15="",H15="",I15=""),"",IFERROR(ROUND(ABS(I15-G15)/ABS(G15-H15),2),""))</f>
        <v/>
      </c>
      <c r="N15" s="16" t="n"/>
      <c r="O15" s="14">
        <f>IF(N15="TP",IF(M15="","",M15),IF(N15="SL",-1,IF(N15="BE",0,"")))</f>
        <v/>
      </c>
      <c r="P15" s="16" t="n"/>
      <c r="Q15" s="17" t="n"/>
      <c r="R15" s="17" t="n"/>
    </row>
    <row r="16" ht="21" customHeight="1">
      <c r="A16" s="5">
        <f>IF(B16="","",ROW()-3)</f>
        <v/>
      </c>
      <c r="B16" s="6" t="n"/>
      <c r="C16" s="7" t="n"/>
      <c r="D16" s="7" t="n"/>
      <c r="E16" s="7" t="n"/>
      <c r="F16" s="8" t="n"/>
      <c r="G16" s="9" t="n"/>
      <c r="H16" s="9" t="n"/>
      <c r="I16" s="9" t="n"/>
      <c r="J16" s="10" t="n"/>
      <c r="K16" s="11" t="n"/>
      <c r="L16" s="12" t="n"/>
      <c r="M16" s="13">
        <f>IF(OR(G16="",H16="",I16=""),"",IFERROR(ROUND(ABS(I16-G16)/ABS(G16-H16),2),""))</f>
        <v/>
      </c>
      <c r="N16" s="7" t="n"/>
      <c r="O16" s="14">
        <f>IF(N16="TP",IF(M16="","",M16),IF(N16="SL",-1,IF(N16="BE",0,"")))</f>
        <v/>
      </c>
      <c r="P16" s="7" t="n"/>
      <c r="Q16" s="8" t="n"/>
      <c r="R16" s="8" t="n"/>
    </row>
    <row r="17" ht="21" customHeight="1">
      <c r="A17" s="5">
        <f>IF(B17="","",ROW()-3)</f>
        <v/>
      </c>
      <c r="B17" s="15" t="n"/>
      <c r="C17" s="16" t="n"/>
      <c r="D17" s="16" t="n"/>
      <c r="E17" s="16" t="n"/>
      <c r="F17" s="17" t="n"/>
      <c r="G17" s="18" t="n"/>
      <c r="H17" s="18" t="n"/>
      <c r="I17" s="18" t="n"/>
      <c r="J17" s="19" t="n"/>
      <c r="K17" s="20" t="n"/>
      <c r="L17" s="21" t="n"/>
      <c r="M17" s="13">
        <f>IF(OR(G17="",H17="",I17=""),"",IFERROR(ROUND(ABS(I17-G17)/ABS(G17-H17),2),""))</f>
        <v/>
      </c>
      <c r="N17" s="16" t="n"/>
      <c r="O17" s="14">
        <f>IF(N17="TP",IF(M17="","",M17),IF(N17="SL",-1,IF(N17="BE",0,"")))</f>
        <v/>
      </c>
      <c r="P17" s="16" t="n"/>
      <c r="Q17" s="17" t="n"/>
      <c r="R17" s="17" t="n"/>
    </row>
    <row r="18" ht="21" customHeight="1">
      <c r="A18" s="5">
        <f>IF(B18="","",ROW()-3)</f>
        <v/>
      </c>
      <c r="B18" s="6" t="n"/>
      <c r="C18" s="7" t="n"/>
      <c r="D18" s="7" t="n"/>
      <c r="E18" s="7" t="n"/>
      <c r="F18" s="8" t="n"/>
      <c r="G18" s="9" t="n"/>
      <c r="H18" s="9" t="n"/>
      <c r="I18" s="9" t="n"/>
      <c r="J18" s="10" t="n"/>
      <c r="K18" s="11" t="n"/>
      <c r="L18" s="12" t="n"/>
      <c r="M18" s="13">
        <f>IF(OR(G18="",H18="",I18=""),"",IFERROR(ROUND(ABS(I18-G18)/ABS(G18-H18),2),""))</f>
        <v/>
      </c>
      <c r="N18" s="7" t="n"/>
      <c r="O18" s="14">
        <f>IF(N18="TP",IF(M18="","",M18),IF(N18="SL",-1,IF(N18="BE",0,"")))</f>
        <v/>
      </c>
      <c r="P18" s="7" t="n"/>
      <c r="Q18" s="8" t="n"/>
      <c r="R18" s="8" t="n"/>
    </row>
    <row r="19" ht="21" customHeight="1">
      <c r="A19" s="5">
        <f>IF(B19="","",ROW()-3)</f>
        <v/>
      </c>
      <c r="B19" s="15" t="n"/>
      <c r="C19" s="16" t="n"/>
      <c r="D19" s="16" t="n"/>
      <c r="E19" s="16" t="n"/>
      <c r="F19" s="17" t="n"/>
      <c r="G19" s="18" t="n"/>
      <c r="H19" s="18" t="n"/>
      <c r="I19" s="18" t="n"/>
      <c r="J19" s="19" t="n"/>
      <c r="K19" s="20" t="n"/>
      <c r="L19" s="21" t="n"/>
      <c r="M19" s="13">
        <f>IF(OR(G19="",H19="",I19=""),"",IFERROR(ROUND(ABS(I19-G19)/ABS(G19-H19),2),""))</f>
        <v/>
      </c>
      <c r="N19" s="16" t="n"/>
      <c r="O19" s="14">
        <f>IF(N19="TP",IF(M19="","",M19),IF(N19="SL",-1,IF(N19="BE",0,"")))</f>
        <v/>
      </c>
      <c r="P19" s="16" t="n"/>
      <c r="Q19" s="17" t="n"/>
      <c r="R19" s="17" t="n"/>
    </row>
    <row r="20" ht="21" customHeight="1">
      <c r="A20" s="5">
        <f>IF(B20="","",ROW()-3)</f>
        <v/>
      </c>
      <c r="B20" s="6" t="n"/>
      <c r="C20" s="7" t="n"/>
      <c r="D20" s="7" t="n"/>
      <c r="E20" s="7" t="n"/>
      <c r="F20" s="8" t="n"/>
      <c r="G20" s="9" t="n"/>
      <c r="H20" s="9" t="n"/>
      <c r="I20" s="9" t="n"/>
      <c r="J20" s="10" t="n"/>
      <c r="K20" s="11" t="n"/>
      <c r="L20" s="12" t="n"/>
      <c r="M20" s="13">
        <f>IF(OR(G20="",H20="",I20=""),"",IFERROR(ROUND(ABS(I20-G20)/ABS(G20-H20),2),""))</f>
        <v/>
      </c>
      <c r="N20" s="7" t="n"/>
      <c r="O20" s="14">
        <f>IF(N20="TP",IF(M20="","",M20),IF(N20="SL",-1,IF(N20="BE",0,"")))</f>
        <v/>
      </c>
      <c r="P20" s="7" t="n"/>
      <c r="Q20" s="8" t="n"/>
      <c r="R20" s="8" t="n"/>
    </row>
    <row r="21" ht="21" customHeight="1">
      <c r="A21" s="5">
        <f>IF(B21="","",ROW()-3)</f>
        <v/>
      </c>
      <c r="B21" s="15" t="n"/>
      <c r="C21" s="16" t="n"/>
      <c r="D21" s="16" t="n"/>
      <c r="E21" s="16" t="n"/>
      <c r="F21" s="17" t="n"/>
      <c r="G21" s="18" t="n"/>
      <c r="H21" s="18" t="n"/>
      <c r="I21" s="18" t="n"/>
      <c r="J21" s="19" t="n"/>
      <c r="K21" s="20" t="n"/>
      <c r="L21" s="21" t="n"/>
      <c r="M21" s="13">
        <f>IF(OR(G21="",H21="",I21=""),"",IFERROR(ROUND(ABS(I21-G21)/ABS(G21-H21),2),""))</f>
        <v/>
      </c>
      <c r="N21" s="16" t="n"/>
      <c r="O21" s="14">
        <f>IF(N21="TP",IF(M21="","",M21),IF(N21="SL",-1,IF(N21="BE",0,"")))</f>
        <v/>
      </c>
      <c r="P21" s="16" t="n"/>
      <c r="Q21" s="17" t="n"/>
      <c r="R21" s="17" t="n"/>
    </row>
    <row r="22" ht="21" customHeight="1">
      <c r="A22" s="5">
        <f>IF(B22="","",ROW()-3)</f>
        <v/>
      </c>
      <c r="B22" s="6" t="n"/>
      <c r="C22" s="7" t="n"/>
      <c r="D22" s="7" t="n"/>
      <c r="E22" s="7" t="n"/>
      <c r="F22" s="8" t="n"/>
      <c r="G22" s="9" t="n"/>
      <c r="H22" s="9" t="n"/>
      <c r="I22" s="9" t="n"/>
      <c r="J22" s="10" t="n"/>
      <c r="K22" s="11" t="n"/>
      <c r="L22" s="12" t="n"/>
      <c r="M22" s="13">
        <f>IF(OR(G22="",H22="",I22=""),"",IFERROR(ROUND(ABS(I22-G22)/ABS(G22-H22),2),""))</f>
        <v/>
      </c>
      <c r="N22" s="7" t="n"/>
      <c r="O22" s="14">
        <f>IF(N22="TP",IF(M22="","",M22),IF(N22="SL",-1,IF(N22="BE",0,"")))</f>
        <v/>
      </c>
      <c r="P22" s="7" t="n"/>
      <c r="Q22" s="8" t="n"/>
      <c r="R22" s="8" t="n"/>
    </row>
    <row r="23" ht="21" customHeight="1">
      <c r="A23" s="5">
        <f>IF(B23="","",ROW()-3)</f>
        <v/>
      </c>
      <c r="B23" s="15" t="n"/>
      <c r="C23" s="16" t="n"/>
      <c r="D23" s="16" t="n"/>
      <c r="E23" s="16" t="n"/>
      <c r="F23" s="17" t="n"/>
      <c r="G23" s="18" t="n"/>
      <c r="H23" s="18" t="n"/>
      <c r="I23" s="18" t="n"/>
      <c r="J23" s="19" t="n"/>
      <c r="K23" s="20" t="n"/>
      <c r="L23" s="21" t="n"/>
      <c r="M23" s="13">
        <f>IF(OR(G23="",H23="",I23=""),"",IFERROR(ROUND(ABS(I23-G23)/ABS(G23-H23),2),""))</f>
        <v/>
      </c>
      <c r="N23" s="16" t="n"/>
      <c r="O23" s="14">
        <f>IF(N23="TP",IF(M23="","",M23),IF(N23="SL",-1,IF(N23="BE",0,"")))</f>
        <v/>
      </c>
      <c r="P23" s="16" t="n"/>
      <c r="Q23" s="17" t="n"/>
      <c r="R23" s="17" t="n"/>
    </row>
    <row r="24" ht="21" customHeight="1">
      <c r="A24" s="5">
        <f>IF(B24="","",ROW()-3)</f>
        <v/>
      </c>
      <c r="B24" s="6" t="n"/>
      <c r="C24" s="7" t="n"/>
      <c r="D24" s="7" t="n"/>
      <c r="E24" s="7" t="n"/>
      <c r="F24" s="8" t="n"/>
      <c r="G24" s="9" t="n"/>
      <c r="H24" s="9" t="n"/>
      <c r="I24" s="9" t="n"/>
      <c r="J24" s="10" t="n"/>
      <c r="K24" s="11" t="n"/>
      <c r="L24" s="12" t="n"/>
      <c r="M24" s="13">
        <f>IF(OR(G24="",H24="",I24=""),"",IFERROR(ROUND(ABS(I24-G24)/ABS(G24-H24),2),""))</f>
        <v/>
      </c>
      <c r="N24" s="7" t="n"/>
      <c r="O24" s="14">
        <f>IF(N24="TP",IF(M24="","",M24),IF(N24="SL",-1,IF(N24="BE",0,"")))</f>
        <v/>
      </c>
      <c r="P24" s="7" t="n"/>
      <c r="Q24" s="8" t="n"/>
      <c r="R24" s="8" t="n"/>
    </row>
    <row r="25" ht="21" customHeight="1">
      <c r="A25" s="5">
        <f>IF(B25="","",ROW()-3)</f>
        <v/>
      </c>
      <c r="B25" s="15" t="n"/>
      <c r="C25" s="16" t="n"/>
      <c r="D25" s="16" t="n"/>
      <c r="E25" s="16" t="n"/>
      <c r="F25" s="17" t="n"/>
      <c r="G25" s="18" t="n"/>
      <c r="H25" s="18" t="n"/>
      <c r="I25" s="18" t="n"/>
      <c r="J25" s="19" t="n"/>
      <c r="K25" s="20" t="n"/>
      <c r="L25" s="21" t="n"/>
      <c r="M25" s="13">
        <f>IF(OR(G25="",H25="",I25=""),"",IFERROR(ROUND(ABS(I25-G25)/ABS(G25-H25),2),""))</f>
        <v/>
      </c>
      <c r="N25" s="16" t="n"/>
      <c r="O25" s="14">
        <f>IF(N25="TP",IF(M25="","",M25),IF(N25="SL",-1,IF(N25="BE",0,"")))</f>
        <v/>
      </c>
      <c r="P25" s="16" t="n"/>
      <c r="Q25" s="17" t="n"/>
      <c r="R25" s="17" t="n"/>
    </row>
    <row r="26" ht="21" customHeight="1">
      <c r="A26" s="5">
        <f>IF(B26="","",ROW()-3)</f>
        <v/>
      </c>
      <c r="B26" s="6" t="n"/>
      <c r="C26" s="7" t="n"/>
      <c r="D26" s="7" t="n"/>
      <c r="E26" s="7" t="n"/>
      <c r="F26" s="8" t="n"/>
      <c r="G26" s="9" t="n"/>
      <c r="H26" s="9" t="n"/>
      <c r="I26" s="9" t="n"/>
      <c r="J26" s="10" t="n"/>
      <c r="K26" s="11" t="n"/>
      <c r="L26" s="12" t="n"/>
      <c r="M26" s="13">
        <f>IF(OR(G26="",H26="",I26=""),"",IFERROR(ROUND(ABS(I26-G26)/ABS(G26-H26),2),""))</f>
        <v/>
      </c>
      <c r="N26" s="7" t="n"/>
      <c r="O26" s="14">
        <f>IF(N26="TP",IF(M26="","",M26),IF(N26="SL",-1,IF(N26="BE",0,"")))</f>
        <v/>
      </c>
      <c r="P26" s="7" t="n"/>
      <c r="Q26" s="8" t="n"/>
      <c r="R26" s="8" t="n"/>
    </row>
    <row r="27" ht="21" customHeight="1">
      <c r="A27" s="5">
        <f>IF(B27="","",ROW()-3)</f>
        <v/>
      </c>
      <c r="B27" s="15" t="n"/>
      <c r="C27" s="16" t="n"/>
      <c r="D27" s="16" t="n"/>
      <c r="E27" s="16" t="n"/>
      <c r="F27" s="17" t="n"/>
      <c r="G27" s="18" t="n"/>
      <c r="H27" s="18" t="n"/>
      <c r="I27" s="18" t="n"/>
      <c r="J27" s="19" t="n"/>
      <c r="K27" s="20" t="n"/>
      <c r="L27" s="21" t="n"/>
      <c r="M27" s="13">
        <f>IF(OR(G27="",H27="",I27=""),"",IFERROR(ROUND(ABS(I27-G27)/ABS(G27-H27),2),""))</f>
        <v/>
      </c>
      <c r="N27" s="16" t="n"/>
      <c r="O27" s="14">
        <f>IF(N27="TP",IF(M27="","",M27),IF(N27="SL",-1,IF(N27="BE",0,"")))</f>
        <v/>
      </c>
      <c r="P27" s="16" t="n"/>
      <c r="Q27" s="17" t="n"/>
      <c r="R27" s="17" t="n"/>
    </row>
    <row r="28" ht="21" customHeight="1">
      <c r="A28" s="5">
        <f>IF(B28="","",ROW()-3)</f>
        <v/>
      </c>
      <c r="B28" s="6" t="n"/>
      <c r="C28" s="7" t="n"/>
      <c r="D28" s="7" t="n"/>
      <c r="E28" s="7" t="n"/>
      <c r="F28" s="8" t="n"/>
      <c r="G28" s="9" t="n"/>
      <c r="H28" s="9" t="n"/>
      <c r="I28" s="9" t="n"/>
      <c r="J28" s="10" t="n"/>
      <c r="K28" s="11" t="n"/>
      <c r="L28" s="12" t="n"/>
      <c r="M28" s="13">
        <f>IF(OR(G28="",H28="",I28=""),"",IFERROR(ROUND(ABS(I28-G28)/ABS(G28-H28),2),""))</f>
        <v/>
      </c>
      <c r="N28" s="7" t="n"/>
      <c r="O28" s="14">
        <f>IF(N28="TP",IF(M28="","",M28),IF(N28="SL",-1,IF(N28="BE",0,"")))</f>
        <v/>
      </c>
      <c r="P28" s="7" t="n"/>
      <c r="Q28" s="8" t="n"/>
      <c r="R28" s="8" t="n"/>
    </row>
    <row r="29" ht="21" customHeight="1">
      <c r="A29" s="5">
        <f>IF(B29="","",ROW()-3)</f>
        <v/>
      </c>
      <c r="B29" s="15" t="n"/>
      <c r="C29" s="16" t="n"/>
      <c r="D29" s="16" t="n"/>
      <c r="E29" s="16" t="n"/>
      <c r="F29" s="17" t="n"/>
      <c r="G29" s="18" t="n"/>
      <c r="H29" s="18" t="n"/>
      <c r="I29" s="18" t="n"/>
      <c r="J29" s="19" t="n"/>
      <c r="K29" s="20" t="n"/>
      <c r="L29" s="21" t="n"/>
      <c r="M29" s="13">
        <f>IF(OR(G29="",H29="",I29=""),"",IFERROR(ROUND(ABS(I29-G29)/ABS(G29-H29),2),""))</f>
        <v/>
      </c>
      <c r="N29" s="16" t="n"/>
      <c r="O29" s="14">
        <f>IF(N29="TP",IF(M29="","",M29),IF(N29="SL",-1,IF(N29="BE",0,"")))</f>
        <v/>
      </c>
      <c r="P29" s="16" t="n"/>
      <c r="Q29" s="17" t="n"/>
      <c r="R29" s="17" t="n"/>
    </row>
    <row r="30" ht="21" customHeight="1">
      <c r="A30" s="5">
        <f>IF(B30="","",ROW()-3)</f>
        <v/>
      </c>
      <c r="B30" s="6" t="n"/>
      <c r="C30" s="7" t="n"/>
      <c r="D30" s="7" t="n"/>
      <c r="E30" s="7" t="n"/>
      <c r="F30" s="8" t="n"/>
      <c r="G30" s="9" t="n"/>
      <c r="H30" s="9" t="n"/>
      <c r="I30" s="9" t="n"/>
      <c r="J30" s="10" t="n"/>
      <c r="K30" s="11" t="n"/>
      <c r="L30" s="12" t="n"/>
      <c r="M30" s="13">
        <f>IF(OR(G30="",H30="",I30=""),"",IFERROR(ROUND(ABS(I30-G30)/ABS(G30-H30),2),""))</f>
        <v/>
      </c>
      <c r="N30" s="7" t="n"/>
      <c r="O30" s="14">
        <f>IF(N30="TP",IF(M30="","",M30),IF(N30="SL",-1,IF(N30="BE",0,"")))</f>
        <v/>
      </c>
      <c r="P30" s="7" t="n"/>
      <c r="Q30" s="8" t="n"/>
      <c r="R30" s="8" t="n"/>
    </row>
    <row r="31" ht="21" customHeight="1">
      <c r="A31" s="5">
        <f>IF(B31="","",ROW()-3)</f>
        <v/>
      </c>
      <c r="B31" s="15" t="n"/>
      <c r="C31" s="16" t="n"/>
      <c r="D31" s="16" t="n"/>
      <c r="E31" s="16" t="n"/>
      <c r="F31" s="17" t="n"/>
      <c r="G31" s="18" t="n"/>
      <c r="H31" s="18" t="n"/>
      <c r="I31" s="18" t="n"/>
      <c r="J31" s="19" t="n"/>
      <c r="K31" s="20" t="n"/>
      <c r="L31" s="21" t="n"/>
      <c r="M31" s="13">
        <f>IF(OR(G31="",H31="",I31=""),"",IFERROR(ROUND(ABS(I31-G31)/ABS(G31-H31),2),""))</f>
        <v/>
      </c>
      <c r="N31" s="16" t="n"/>
      <c r="O31" s="14">
        <f>IF(N31="TP",IF(M31="","",M31),IF(N31="SL",-1,IF(N31="BE",0,"")))</f>
        <v/>
      </c>
      <c r="P31" s="16" t="n"/>
      <c r="Q31" s="17" t="n"/>
      <c r="R31" s="17" t="n"/>
    </row>
    <row r="32" ht="21" customHeight="1">
      <c r="A32" s="5">
        <f>IF(B32="","",ROW()-3)</f>
        <v/>
      </c>
      <c r="B32" s="6" t="n"/>
      <c r="C32" s="7" t="n"/>
      <c r="D32" s="7" t="n"/>
      <c r="E32" s="7" t="n"/>
      <c r="F32" s="8" t="n"/>
      <c r="G32" s="9" t="n"/>
      <c r="H32" s="9" t="n"/>
      <c r="I32" s="9" t="n"/>
      <c r="J32" s="10" t="n"/>
      <c r="K32" s="11" t="n"/>
      <c r="L32" s="12" t="n"/>
      <c r="M32" s="13">
        <f>IF(OR(G32="",H32="",I32=""),"",IFERROR(ROUND(ABS(I32-G32)/ABS(G32-H32),2),""))</f>
        <v/>
      </c>
      <c r="N32" s="7" t="n"/>
      <c r="O32" s="14">
        <f>IF(N32="TP",IF(M32="","",M32),IF(N32="SL",-1,IF(N32="BE",0,"")))</f>
        <v/>
      </c>
      <c r="P32" s="7" t="n"/>
      <c r="Q32" s="8" t="n"/>
      <c r="R32" s="8" t="n"/>
    </row>
    <row r="33" ht="21" customHeight="1">
      <c r="A33" s="5">
        <f>IF(B33="","",ROW()-3)</f>
        <v/>
      </c>
      <c r="B33" s="15" t="n"/>
      <c r="C33" s="16" t="n"/>
      <c r="D33" s="16" t="n"/>
      <c r="E33" s="16" t="n"/>
      <c r="F33" s="17" t="n"/>
      <c r="G33" s="18" t="n"/>
      <c r="H33" s="18" t="n"/>
      <c r="I33" s="18" t="n"/>
      <c r="J33" s="19" t="n"/>
      <c r="K33" s="20" t="n"/>
      <c r="L33" s="21" t="n"/>
      <c r="M33" s="13">
        <f>IF(OR(G33="",H33="",I33=""),"",IFERROR(ROUND(ABS(I33-G33)/ABS(G33-H33),2),""))</f>
        <v/>
      </c>
      <c r="N33" s="16" t="n"/>
      <c r="O33" s="14">
        <f>IF(N33="TP",IF(M33="","",M33),IF(N33="SL",-1,IF(N33="BE",0,"")))</f>
        <v/>
      </c>
      <c r="P33" s="16" t="n"/>
      <c r="Q33" s="17" t="n"/>
      <c r="R33" s="17" t="n"/>
    </row>
    <row r="34" ht="21" customHeight="1">
      <c r="A34" s="5">
        <f>IF(B34="","",ROW()-3)</f>
        <v/>
      </c>
      <c r="B34" s="6" t="n"/>
      <c r="C34" s="7" t="n"/>
      <c r="D34" s="7" t="n"/>
      <c r="E34" s="7" t="n"/>
      <c r="F34" s="8" t="n"/>
      <c r="G34" s="9" t="n"/>
      <c r="H34" s="9" t="n"/>
      <c r="I34" s="9" t="n"/>
      <c r="J34" s="10" t="n"/>
      <c r="K34" s="11" t="n"/>
      <c r="L34" s="12" t="n"/>
      <c r="M34" s="13">
        <f>IF(OR(G34="",H34="",I34=""),"",IFERROR(ROUND(ABS(I34-G34)/ABS(G34-H34),2),""))</f>
        <v/>
      </c>
      <c r="N34" s="7" t="n"/>
      <c r="O34" s="14">
        <f>IF(N34="TP",IF(M34="","",M34),IF(N34="SL",-1,IF(N34="BE",0,"")))</f>
        <v/>
      </c>
      <c r="P34" s="7" t="n"/>
      <c r="Q34" s="8" t="n"/>
      <c r="R34" s="8" t="n"/>
    </row>
    <row r="35" ht="21" customHeight="1">
      <c r="A35" s="5">
        <f>IF(B35="","",ROW()-3)</f>
        <v/>
      </c>
      <c r="B35" s="15" t="n"/>
      <c r="C35" s="16" t="n"/>
      <c r="D35" s="16" t="n"/>
      <c r="E35" s="16" t="n"/>
      <c r="F35" s="17" t="n"/>
      <c r="G35" s="18" t="n"/>
      <c r="H35" s="18" t="n"/>
      <c r="I35" s="18" t="n"/>
      <c r="J35" s="19" t="n"/>
      <c r="K35" s="20" t="n"/>
      <c r="L35" s="21" t="n"/>
      <c r="M35" s="13">
        <f>IF(OR(G35="",H35="",I35=""),"",IFERROR(ROUND(ABS(I35-G35)/ABS(G35-H35),2),""))</f>
        <v/>
      </c>
      <c r="N35" s="16" t="n"/>
      <c r="O35" s="14">
        <f>IF(N35="TP",IF(M35="","",M35),IF(N35="SL",-1,IF(N35="BE",0,"")))</f>
        <v/>
      </c>
      <c r="P35" s="16" t="n"/>
      <c r="Q35" s="17" t="n"/>
      <c r="R35" s="17" t="n"/>
    </row>
    <row r="36" ht="21" customHeight="1">
      <c r="A36" s="5">
        <f>IF(B36="","",ROW()-3)</f>
        <v/>
      </c>
      <c r="B36" s="6" t="n"/>
      <c r="C36" s="7" t="n"/>
      <c r="D36" s="7" t="n"/>
      <c r="E36" s="7" t="n"/>
      <c r="F36" s="8" t="n"/>
      <c r="G36" s="9" t="n"/>
      <c r="H36" s="9" t="n"/>
      <c r="I36" s="9" t="n"/>
      <c r="J36" s="10" t="n"/>
      <c r="K36" s="11" t="n"/>
      <c r="L36" s="12" t="n"/>
      <c r="M36" s="13">
        <f>IF(OR(G36="",H36="",I36=""),"",IFERROR(ROUND(ABS(I36-G36)/ABS(G36-H36),2),""))</f>
        <v/>
      </c>
      <c r="N36" s="7" t="n"/>
      <c r="O36" s="14">
        <f>IF(N36="TP",IF(M36="","",M36),IF(N36="SL",-1,IF(N36="BE",0,"")))</f>
        <v/>
      </c>
      <c r="P36" s="7" t="n"/>
      <c r="Q36" s="8" t="n"/>
      <c r="R36" s="8" t="n"/>
    </row>
    <row r="37" ht="21" customHeight="1">
      <c r="A37" s="5">
        <f>IF(B37="","",ROW()-3)</f>
        <v/>
      </c>
      <c r="B37" s="15" t="n"/>
      <c r="C37" s="16" t="n"/>
      <c r="D37" s="16" t="n"/>
      <c r="E37" s="16" t="n"/>
      <c r="F37" s="17" t="n"/>
      <c r="G37" s="18" t="n"/>
      <c r="H37" s="18" t="n"/>
      <c r="I37" s="18" t="n"/>
      <c r="J37" s="19" t="n"/>
      <c r="K37" s="20" t="n"/>
      <c r="L37" s="21" t="n"/>
      <c r="M37" s="13">
        <f>IF(OR(G37="",H37="",I37=""),"",IFERROR(ROUND(ABS(I37-G37)/ABS(G37-H37),2),""))</f>
        <v/>
      </c>
      <c r="N37" s="16" t="n"/>
      <c r="O37" s="14">
        <f>IF(N37="TP",IF(M37="","",M37),IF(N37="SL",-1,IF(N37="BE",0,"")))</f>
        <v/>
      </c>
      <c r="P37" s="16" t="n"/>
      <c r="Q37" s="17" t="n"/>
      <c r="R37" s="17" t="n"/>
    </row>
    <row r="38" ht="21" customHeight="1">
      <c r="A38" s="5">
        <f>IF(B38="","",ROW()-3)</f>
        <v/>
      </c>
      <c r="B38" s="6" t="n"/>
      <c r="C38" s="7" t="n"/>
      <c r="D38" s="7" t="n"/>
      <c r="E38" s="7" t="n"/>
      <c r="F38" s="8" t="n"/>
      <c r="G38" s="9" t="n"/>
      <c r="H38" s="9" t="n"/>
      <c r="I38" s="9" t="n"/>
      <c r="J38" s="10" t="n"/>
      <c r="K38" s="11" t="n"/>
      <c r="L38" s="12" t="n"/>
      <c r="M38" s="13">
        <f>IF(OR(G38="",H38="",I38=""),"",IFERROR(ROUND(ABS(I38-G38)/ABS(G38-H38),2),""))</f>
        <v/>
      </c>
      <c r="N38" s="7" t="n"/>
      <c r="O38" s="14">
        <f>IF(N38="TP",IF(M38="","",M38),IF(N38="SL",-1,IF(N38="BE",0,"")))</f>
        <v/>
      </c>
      <c r="P38" s="7" t="n"/>
      <c r="Q38" s="8" t="n"/>
      <c r="R38" s="8" t="n"/>
    </row>
    <row r="39" ht="21" customHeight="1">
      <c r="A39" s="5">
        <f>IF(B39="","",ROW()-3)</f>
        <v/>
      </c>
      <c r="B39" s="15" t="n"/>
      <c r="C39" s="16" t="n"/>
      <c r="D39" s="16" t="n"/>
      <c r="E39" s="16" t="n"/>
      <c r="F39" s="17" t="n"/>
      <c r="G39" s="18" t="n"/>
      <c r="H39" s="18" t="n"/>
      <c r="I39" s="18" t="n"/>
      <c r="J39" s="19" t="n"/>
      <c r="K39" s="20" t="n"/>
      <c r="L39" s="21" t="n"/>
      <c r="M39" s="13">
        <f>IF(OR(G39="",H39="",I39=""),"",IFERROR(ROUND(ABS(I39-G39)/ABS(G39-H39),2),""))</f>
        <v/>
      </c>
      <c r="N39" s="16" t="n"/>
      <c r="O39" s="14">
        <f>IF(N39="TP",IF(M39="","",M39),IF(N39="SL",-1,IF(N39="BE",0,"")))</f>
        <v/>
      </c>
      <c r="P39" s="16" t="n"/>
      <c r="Q39" s="17" t="n"/>
      <c r="R39" s="17" t="n"/>
    </row>
    <row r="40" ht="21" customHeight="1">
      <c r="A40" s="5">
        <f>IF(B40="","",ROW()-3)</f>
        <v/>
      </c>
      <c r="B40" s="6" t="n"/>
      <c r="C40" s="7" t="n"/>
      <c r="D40" s="7" t="n"/>
      <c r="E40" s="7" t="n"/>
      <c r="F40" s="8" t="n"/>
      <c r="G40" s="9" t="n"/>
      <c r="H40" s="9" t="n"/>
      <c r="I40" s="9" t="n"/>
      <c r="J40" s="10" t="n"/>
      <c r="K40" s="11" t="n"/>
      <c r="L40" s="12" t="n"/>
      <c r="M40" s="13">
        <f>IF(OR(G40="",H40="",I40=""),"",IFERROR(ROUND(ABS(I40-G40)/ABS(G40-H40),2),""))</f>
        <v/>
      </c>
      <c r="N40" s="7" t="n"/>
      <c r="O40" s="14">
        <f>IF(N40="TP",IF(M40="","",M40),IF(N40="SL",-1,IF(N40="BE",0,"")))</f>
        <v/>
      </c>
      <c r="P40" s="7" t="n"/>
      <c r="Q40" s="8" t="n"/>
      <c r="R40" s="8" t="n"/>
    </row>
    <row r="41" ht="21" customHeight="1">
      <c r="A41" s="5">
        <f>IF(B41="","",ROW()-3)</f>
        <v/>
      </c>
      <c r="B41" s="15" t="n"/>
      <c r="C41" s="16" t="n"/>
      <c r="D41" s="16" t="n"/>
      <c r="E41" s="16" t="n"/>
      <c r="F41" s="17" t="n"/>
      <c r="G41" s="18" t="n"/>
      <c r="H41" s="18" t="n"/>
      <c r="I41" s="18" t="n"/>
      <c r="J41" s="19" t="n"/>
      <c r="K41" s="20" t="n"/>
      <c r="L41" s="21" t="n"/>
      <c r="M41" s="13">
        <f>IF(OR(G41="",H41="",I41=""),"",IFERROR(ROUND(ABS(I41-G41)/ABS(G41-H41),2),""))</f>
        <v/>
      </c>
      <c r="N41" s="16" t="n"/>
      <c r="O41" s="14">
        <f>IF(N41="TP",IF(M41="","",M41),IF(N41="SL",-1,IF(N41="BE",0,"")))</f>
        <v/>
      </c>
      <c r="P41" s="16" t="n"/>
      <c r="Q41" s="17" t="n"/>
      <c r="R41" s="17" t="n"/>
    </row>
    <row r="42" ht="21" customHeight="1">
      <c r="A42" s="5">
        <f>IF(B42="","",ROW()-3)</f>
        <v/>
      </c>
      <c r="B42" s="6" t="n"/>
      <c r="C42" s="7" t="n"/>
      <c r="D42" s="7" t="n"/>
      <c r="E42" s="7" t="n"/>
      <c r="F42" s="8" t="n"/>
      <c r="G42" s="9" t="n"/>
      <c r="H42" s="9" t="n"/>
      <c r="I42" s="9" t="n"/>
      <c r="J42" s="10" t="n"/>
      <c r="K42" s="11" t="n"/>
      <c r="L42" s="12" t="n"/>
      <c r="M42" s="13">
        <f>IF(OR(G42="",H42="",I42=""),"",IFERROR(ROUND(ABS(I42-G42)/ABS(G42-H42),2),""))</f>
        <v/>
      </c>
      <c r="N42" s="7" t="n"/>
      <c r="O42" s="14">
        <f>IF(N42="TP",IF(M42="","",M42),IF(N42="SL",-1,IF(N42="BE",0,"")))</f>
        <v/>
      </c>
      <c r="P42" s="7" t="n"/>
      <c r="Q42" s="8" t="n"/>
      <c r="R42" s="8" t="n"/>
    </row>
    <row r="43" ht="21" customHeight="1">
      <c r="A43" s="5">
        <f>IF(B43="","",ROW()-3)</f>
        <v/>
      </c>
      <c r="B43" s="15" t="n"/>
      <c r="C43" s="16" t="n"/>
      <c r="D43" s="16" t="n"/>
      <c r="E43" s="16" t="n"/>
      <c r="F43" s="17" t="n"/>
      <c r="G43" s="18" t="n"/>
      <c r="H43" s="18" t="n"/>
      <c r="I43" s="18" t="n"/>
      <c r="J43" s="19" t="n"/>
      <c r="K43" s="20" t="n"/>
      <c r="L43" s="21" t="n"/>
      <c r="M43" s="13">
        <f>IF(OR(G43="",H43="",I43=""),"",IFERROR(ROUND(ABS(I43-G43)/ABS(G43-H43),2),""))</f>
        <v/>
      </c>
      <c r="N43" s="16" t="n"/>
      <c r="O43" s="14">
        <f>IF(N43="TP",IF(M43="","",M43),IF(N43="SL",-1,IF(N43="BE",0,"")))</f>
        <v/>
      </c>
      <c r="P43" s="16" t="n"/>
      <c r="Q43" s="17" t="n"/>
      <c r="R43" s="17" t="n"/>
    </row>
    <row r="44" ht="21" customHeight="1">
      <c r="A44" s="5">
        <f>IF(B44="","",ROW()-3)</f>
        <v/>
      </c>
      <c r="B44" s="6" t="n"/>
      <c r="C44" s="7" t="n"/>
      <c r="D44" s="7" t="n"/>
      <c r="E44" s="7" t="n"/>
      <c r="F44" s="8" t="n"/>
      <c r="G44" s="9" t="n"/>
      <c r="H44" s="9" t="n"/>
      <c r="I44" s="9" t="n"/>
      <c r="J44" s="10" t="n"/>
      <c r="K44" s="11" t="n"/>
      <c r="L44" s="12" t="n"/>
      <c r="M44" s="13">
        <f>IF(OR(G44="",H44="",I44=""),"",IFERROR(ROUND(ABS(I44-G44)/ABS(G44-H44),2),""))</f>
        <v/>
      </c>
      <c r="N44" s="7" t="n"/>
      <c r="O44" s="14">
        <f>IF(N44="TP",IF(M44="","",M44),IF(N44="SL",-1,IF(N44="BE",0,"")))</f>
        <v/>
      </c>
      <c r="P44" s="7" t="n"/>
      <c r="Q44" s="8" t="n"/>
      <c r="R44" s="8" t="n"/>
    </row>
    <row r="45" ht="21" customHeight="1">
      <c r="A45" s="5">
        <f>IF(B45="","",ROW()-3)</f>
        <v/>
      </c>
      <c r="B45" s="15" t="n"/>
      <c r="C45" s="16" t="n"/>
      <c r="D45" s="16" t="n"/>
      <c r="E45" s="16" t="n"/>
      <c r="F45" s="17" t="n"/>
      <c r="G45" s="18" t="n"/>
      <c r="H45" s="18" t="n"/>
      <c r="I45" s="18" t="n"/>
      <c r="J45" s="19" t="n"/>
      <c r="K45" s="20" t="n"/>
      <c r="L45" s="21" t="n"/>
      <c r="M45" s="13">
        <f>IF(OR(G45="",H45="",I45=""),"",IFERROR(ROUND(ABS(I45-G45)/ABS(G45-H45),2),""))</f>
        <v/>
      </c>
      <c r="N45" s="16" t="n"/>
      <c r="O45" s="14">
        <f>IF(N45="TP",IF(M45="","",M45),IF(N45="SL",-1,IF(N45="BE",0,"")))</f>
        <v/>
      </c>
      <c r="P45" s="16" t="n"/>
      <c r="Q45" s="17" t="n"/>
      <c r="R45" s="17" t="n"/>
    </row>
    <row r="46" ht="21" customHeight="1">
      <c r="A46" s="5">
        <f>IF(B46="","",ROW()-3)</f>
        <v/>
      </c>
      <c r="B46" s="6" t="n"/>
      <c r="C46" s="7" t="n"/>
      <c r="D46" s="7" t="n"/>
      <c r="E46" s="7" t="n"/>
      <c r="F46" s="8" t="n"/>
      <c r="G46" s="9" t="n"/>
      <c r="H46" s="9" t="n"/>
      <c r="I46" s="9" t="n"/>
      <c r="J46" s="10" t="n"/>
      <c r="K46" s="11" t="n"/>
      <c r="L46" s="12" t="n"/>
      <c r="M46" s="13">
        <f>IF(OR(G46="",H46="",I46=""),"",IFERROR(ROUND(ABS(I46-G46)/ABS(G46-H46),2),""))</f>
        <v/>
      </c>
      <c r="N46" s="7" t="n"/>
      <c r="O46" s="14">
        <f>IF(N46="TP",IF(M46="","",M46),IF(N46="SL",-1,IF(N46="BE",0,"")))</f>
        <v/>
      </c>
      <c r="P46" s="7" t="n"/>
      <c r="Q46" s="8" t="n"/>
      <c r="R46" s="8" t="n"/>
    </row>
    <row r="47" ht="21" customHeight="1">
      <c r="A47" s="5">
        <f>IF(B47="","",ROW()-3)</f>
        <v/>
      </c>
      <c r="B47" s="15" t="n"/>
      <c r="C47" s="16" t="n"/>
      <c r="D47" s="16" t="n"/>
      <c r="E47" s="16" t="n"/>
      <c r="F47" s="17" t="n"/>
      <c r="G47" s="18" t="n"/>
      <c r="H47" s="18" t="n"/>
      <c r="I47" s="18" t="n"/>
      <c r="J47" s="19" t="n"/>
      <c r="K47" s="20" t="n"/>
      <c r="L47" s="21" t="n"/>
      <c r="M47" s="13">
        <f>IF(OR(G47="",H47="",I47=""),"",IFERROR(ROUND(ABS(I47-G47)/ABS(G47-H47),2),""))</f>
        <v/>
      </c>
      <c r="N47" s="16" t="n"/>
      <c r="O47" s="14">
        <f>IF(N47="TP",IF(M47="","",M47),IF(N47="SL",-1,IF(N47="BE",0,"")))</f>
        <v/>
      </c>
      <c r="P47" s="16" t="n"/>
      <c r="Q47" s="17" t="n"/>
      <c r="R47" s="17" t="n"/>
    </row>
    <row r="48" ht="21" customHeight="1">
      <c r="A48" s="5">
        <f>IF(B48="","",ROW()-3)</f>
        <v/>
      </c>
      <c r="B48" s="6" t="n"/>
      <c r="C48" s="7" t="n"/>
      <c r="D48" s="7" t="n"/>
      <c r="E48" s="7" t="n"/>
      <c r="F48" s="8" t="n"/>
      <c r="G48" s="9" t="n"/>
      <c r="H48" s="9" t="n"/>
      <c r="I48" s="9" t="n"/>
      <c r="J48" s="10" t="n"/>
      <c r="K48" s="11" t="n"/>
      <c r="L48" s="12" t="n"/>
      <c r="M48" s="13">
        <f>IF(OR(G48="",H48="",I48=""),"",IFERROR(ROUND(ABS(I48-G48)/ABS(G48-H48),2),""))</f>
        <v/>
      </c>
      <c r="N48" s="7" t="n"/>
      <c r="O48" s="14">
        <f>IF(N48="TP",IF(M48="","",M48),IF(N48="SL",-1,IF(N48="BE",0,"")))</f>
        <v/>
      </c>
      <c r="P48" s="7" t="n"/>
      <c r="Q48" s="8" t="n"/>
      <c r="R48" s="8" t="n"/>
    </row>
    <row r="49" ht="21" customHeight="1">
      <c r="A49" s="5">
        <f>IF(B49="","",ROW()-3)</f>
        <v/>
      </c>
      <c r="B49" s="15" t="n"/>
      <c r="C49" s="16" t="n"/>
      <c r="D49" s="16" t="n"/>
      <c r="E49" s="16" t="n"/>
      <c r="F49" s="17" t="n"/>
      <c r="G49" s="18" t="n"/>
      <c r="H49" s="18" t="n"/>
      <c r="I49" s="18" t="n"/>
      <c r="J49" s="19" t="n"/>
      <c r="K49" s="20" t="n"/>
      <c r="L49" s="21" t="n"/>
      <c r="M49" s="13">
        <f>IF(OR(G49="",H49="",I49=""),"",IFERROR(ROUND(ABS(I49-G49)/ABS(G49-H49),2),""))</f>
        <v/>
      </c>
      <c r="N49" s="16" t="n"/>
      <c r="O49" s="14">
        <f>IF(N49="TP",IF(M49="","",M49),IF(N49="SL",-1,IF(N49="BE",0,"")))</f>
        <v/>
      </c>
      <c r="P49" s="16" t="n"/>
      <c r="Q49" s="17" t="n"/>
      <c r="R49" s="17" t="n"/>
    </row>
    <row r="50" ht="21" customHeight="1">
      <c r="A50" s="5">
        <f>IF(B50="","",ROW()-3)</f>
        <v/>
      </c>
      <c r="B50" s="6" t="n"/>
      <c r="C50" s="7" t="n"/>
      <c r="D50" s="7" t="n"/>
      <c r="E50" s="7" t="n"/>
      <c r="F50" s="8" t="n"/>
      <c r="G50" s="9" t="n"/>
      <c r="H50" s="9" t="n"/>
      <c r="I50" s="9" t="n"/>
      <c r="J50" s="10" t="n"/>
      <c r="K50" s="11" t="n"/>
      <c r="L50" s="12" t="n"/>
      <c r="M50" s="13">
        <f>IF(OR(G50="",H50="",I50=""),"",IFERROR(ROUND(ABS(I50-G50)/ABS(G50-H50),2),""))</f>
        <v/>
      </c>
      <c r="N50" s="7" t="n"/>
      <c r="O50" s="14">
        <f>IF(N50="TP",IF(M50="","",M50),IF(N50="SL",-1,IF(N50="BE",0,"")))</f>
        <v/>
      </c>
      <c r="P50" s="7" t="n"/>
      <c r="Q50" s="8" t="n"/>
      <c r="R50" s="8" t="n"/>
    </row>
    <row r="51" ht="21" customHeight="1">
      <c r="A51" s="5">
        <f>IF(B51="","",ROW()-3)</f>
        <v/>
      </c>
      <c r="B51" s="15" t="n"/>
      <c r="C51" s="16" t="n"/>
      <c r="D51" s="16" t="n"/>
      <c r="E51" s="16" t="n"/>
      <c r="F51" s="17" t="n"/>
      <c r="G51" s="18" t="n"/>
      <c r="H51" s="18" t="n"/>
      <c r="I51" s="18" t="n"/>
      <c r="J51" s="19" t="n"/>
      <c r="K51" s="20" t="n"/>
      <c r="L51" s="21" t="n"/>
      <c r="M51" s="13">
        <f>IF(OR(G51="",H51="",I51=""),"",IFERROR(ROUND(ABS(I51-G51)/ABS(G51-H51),2),""))</f>
        <v/>
      </c>
      <c r="N51" s="16" t="n"/>
      <c r="O51" s="14">
        <f>IF(N51="TP",IF(M51="","",M51),IF(N51="SL",-1,IF(N51="BE",0,"")))</f>
        <v/>
      </c>
      <c r="P51" s="16" t="n"/>
      <c r="Q51" s="17" t="n"/>
      <c r="R51" s="17" t="n"/>
    </row>
    <row r="52" ht="21" customHeight="1">
      <c r="A52" s="5">
        <f>IF(B52="","",ROW()-3)</f>
        <v/>
      </c>
      <c r="B52" s="6" t="n"/>
      <c r="C52" s="7" t="n"/>
      <c r="D52" s="7" t="n"/>
      <c r="E52" s="7" t="n"/>
      <c r="F52" s="8" t="n"/>
      <c r="G52" s="9" t="n"/>
      <c r="H52" s="9" t="n"/>
      <c r="I52" s="9" t="n"/>
      <c r="J52" s="10" t="n"/>
      <c r="K52" s="11" t="n"/>
      <c r="L52" s="12" t="n"/>
      <c r="M52" s="13">
        <f>IF(OR(G52="",H52="",I52=""),"",IFERROR(ROUND(ABS(I52-G52)/ABS(G52-H52),2),""))</f>
        <v/>
      </c>
      <c r="N52" s="7" t="n"/>
      <c r="O52" s="14">
        <f>IF(N52="TP",IF(M52="","",M52),IF(N52="SL",-1,IF(N52="BE",0,"")))</f>
        <v/>
      </c>
      <c r="P52" s="7" t="n"/>
      <c r="Q52" s="8" t="n"/>
      <c r="R52" s="8" t="n"/>
    </row>
    <row r="53" ht="21" customHeight="1">
      <c r="A53" s="5">
        <f>IF(B53="","",ROW()-3)</f>
        <v/>
      </c>
      <c r="B53" s="15" t="n"/>
      <c r="C53" s="16" t="n"/>
      <c r="D53" s="16" t="n"/>
      <c r="E53" s="16" t="n"/>
      <c r="F53" s="17" t="n"/>
      <c r="G53" s="18" t="n"/>
      <c r="H53" s="18" t="n"/>
      <c r="I53" s="18" t="n"/>
      <c r="J53" s="19" t="n"/>
      <c r="K53" s="20" t="n"/>
      <c r="L53" s="21" t="n"/>
      <c r="M53" s="13">
        <f>IF(OR(G53="",H53="",I53=""),"",IFERROR(ROUND(ABS(I53-G53)/ABS(G53-H53),2),""))</f>
        <v/>
      </c>
      <c r="N53" s="16" t="n"/>
      <c r="O53" s="14">
        <f>IF(N53="TP",IF(M53="","",M53),IF(N53="SL",-1,IF(N53="BE",0,"")))</f>
        <v/>
      </c>
      <c r="P53" s="16" t="n"/>
      <c r="Q53" s="17" t="n"/>
      <c r="R53" s="17" t="n"/>
    </row>
    <row r="54" ht="21" customHeight="1">
      <c r="A54" s="5">
        <f>IF(B54="","",ROW()-3)</f>
        <v/>
      </c>
      <c r="B54" s="6" t="n"/>
      <c r="C54" s="7" t="n"/>
      <c r="D54" s="7" t="n"/>
      <c r="E54" s="7" t="n"/>
      <c r="F54" s="8" t="n"/>
      <c r="G54" s="9" t="n"/>
      <c r="H54" s="9" t="n"/>
      <c r="I54" s="9" t="n"/>
      <c r="J54" s="10" t="n"/>
      <c r="K54" s="11" t="n"/>
      <c r="L54" s="12" t="n"/>
      <c r="M54" s="13">
        <f>IF(OR(G54="",H54="",I54=""),"",IFERROR(ROUND(ABS(I54-G54)/ABS(G54-H54),2),""))</f>
        <v/>
      </c>
      <c r="N54" s="7" t="n"/>
      <c r="O54" s="14">
        <f>IF(N54="TP",IF(M54="","",M54),IF(N54="SL",-1,IF(N54="BE",0,"")))</f>
        <v/>
      </c>
      <c r="P54" s="7" t="n"/>
      <c r="Q54" s="8" t="n"/>
      <c r="R54" s="8" t="n"/>
    </row>
    <row r="55" ht="21" customHeight="1">
      <c r="A55" s="5">
        <f>IF(B55="","",ROW()-3)</f>
        <v/>
      </c>
      <c r="B55" s="15" t="n"/>
      <c r="C55" s="16" t="n"/>
      <c r="D55" s="16" t="n"/>
      <c r="E55" s="16" t="n"/>
      <c r="F55" s="17" t="n"/>
      <c r="G55" s="18" t="n"/>
      <c r="H55" s="18" t="n"/>
      <c r="I55" s="18" t="n"/>
      <c r="J55" s="19" t="n"/>
      <c r="K55" s="20" t="n"/>
      <c r="L55" s="21" t="n"/>
      <c r="M55" s="13">
        <f>IF(OR(G55="",H55="",I55=""),"",IFERROR(ROUND(ABS(I55-G55)/ABS(G55-H55),2),""))</f>
        <v/>
      </c>
      <c r="N55" s="16" t="n"/>
      <c r="O55" s="14">
        <f>IF(N55="TP",IF(M55="","",M55),IF(N55="SL",-1,IF(N55="BE",0,"")))</f>
        <v/>
      </c>
      <c r="P55" s="16" t="n"/>
      <c r="Q55" s="17" t="n"/>
      <c r="R55" s="17" t="n"/>
    </row>
    <row r="56" ht="21" customHeight="1">
      <c r="A56" s="5">
        <f>IF(B56="","",ROW()-3)</f>
        <v/>
      </c>
      <c r="B56" s="6" t="n"/>
      <c r="C56" s="7" t="n"/>
      <c r="D56" s="7" t="n"/>
      <c r="E56" s="7" t="n"/>
      <c r="F56" s="8" t="n"/>
      <c r="G56" s="9" t="n"/>
      <c r="H56" s="9" t="n"/>
      <c r="I56" s="9" t="n"/>
      <c r="J56" s="10" t="n"/>
      <c r="K56" s="11" t="n"/>
      <c r="L56" s="12" t="n"/>
      <c r="M56" s="13">
        <f>IF(OR(G56="",H56="",I56=""),"",IFERROR(ROUND(ABS(I56-G56)/ABS(G56-H56),2),""))</f>
        <v/>
      </c>
      <c r="N56" s="7" t="n"/>
      <c r="O56" s="14">
        <f>IF(N56="TP",IF(M56="","",M56),IF(N56="SL",-1,IF(N56="BE",0,"")))</f>
        <v/>
      </c>
      <c r="P56" s="7" t="n"/>
      <c r="Q56" s="8" t="n"/>
      <c r="R56" s="8" t="n"/>
    </row>
    <row r="57" ht="21" customHeight="1">
      <c r="A57" s="5">
        <f>IF(B57="","",ROW()-3)</f>
        <v/>
      </c>
      <c r="B57" s="15" t="n"/>
      <c r="C57" s="16" t="n"/>
      <c r="D57" s="16" t="n"/>
      <c r="E57" s="16" t="n"/>
      <c r="F57" s="17" t="n"/>
      <c r="G57" s="18" t="n"/>
      <c r="H57" s="18" t="n"/>
      <c r="I57" s="18" t="n"/>
      <c r="J57" s="19" t="n"/>
      <c r="K57" s="20" t="n"/>
      <c r="L57" s="21" t="n"/>
      <c r="M57" s="13">
        <f>IF(OR(G57="",H57="",I57=""),"",IFERROR(ROUND(ABS(I57-G57)/ABS(G57-H57),2),""))</f>
        <v/>
      </c>
      <c r="N57" s="16" t="n"/>
      <c r="O57" s="14">
        <f>IF(N57="TP",IF(M57="","",M57),IF(N57="SL",-1,IF(N57="BE",0,"")))</f>
        <v/>
      </c>
      <c r="P57" s="16" t="n"/>
      <c r="Q57" s="17" t="n"/>
      <c r="R57" s="17" t="n"/>
    </row>
    <row r="58" ht="21" customHeight="1">
      <c r="A58" s="5">
        <f>IF(B58="","",ROW()-3)</f>
        <v/>
      </c>
      <c r="B58" s="6" t="n"/>
      <c r="C58" s="7" t="n"/>
      <c r="D58" s="7" t="n"/>
      <c r="E58" s="7" t="n"/>
      <c r="F58" s="8" t="n"/>
      <c r="G58" s="9" t="n"/>
      <c r="H58" s="9" t="n"/>
      <c r="I58" s="9" t="n"/>
      <c r="J58" s="10" t="n"/>
      <c r="K58" s="11" t="n"/>
      <c r="L58" s="12" t="n"/>
      <c r="M58" s="13">
        <f>IF(OR(G58="",H58="",I58=""),"",IFERROR(ROUND(ABS(I58-G58)/ABS(G58-H58),2),""))</f>
        <v/>
      </c>
      <c r="N58" s="7" t="n"/>
      <c r="O58" s="14">
        <f>IF(N58="TP",IF(M58="","",M58),IF(N58="SL",-1,IF(N58="BE",0,"")))</f>
        <v/>
      </c>
      <c r="P58" s="7" t="n"/>
      <c r="Q58" s="8" t="n"/>
      <c r="R58" s="8" t="n"/>
    </row>
    <row r="59" ht="21" customHeight="1">
      <c r="A59" s="5">
        <f>IF(B59="","",ROW()-3)</f>
        <v/>
      </c>
      <c r="B59" s="15" t="n"/>
      <c r="C59" s="16" t="n"/>
      <c r="D59" s="16" t="n"/>
      <c r="E59" s="16" t="n"/>
      <c r="F59" s="17" t="n"/>
      <c r="G59" s="18" t="n"/>
      <c r="H59" s="18" t="n"/>
      <c r="I59" s="18" t="n"/>
      <c r="J59" s="19" t="n"/>
      <c r="K59" s="20" t="n"/>
      <c r="L59" s="21" t="n"/>
      <c r="M59" s="13">
        <f>IF(OR(G59="",H59="",I59=""),"",IFERROR(ROUND(ABS(I59-G59)/ABS(G59-H59),2),""))</f>
        <v/>
      </c>
      <c r="N59" s="16" t="n"/>
      <c r="O59" s="14">
        <f>IF(N59="TP",IF(M59="","",M59),IF(N59="SL",-1,IF(N59="BE",0,"")))</f>
        <v/>
      </c>
      <c r="P59" s="16" t="n"/>
      <c r="Q59" s="17" t="n"/>
      <c r="R59" s="17" t="n"/>
    </row>
    <row r="60" ht="21" customHeight="1">
      <c r="A60" s="5">
        <f>IF(B60="","",ROW()-3)</f>
        <v/>
      </c>
      <c r="B60" s="6" t="n"/>
      <c r="C60" s="7" t="n"/>
      <c r="D60" s="7" t="n"/>
      <c r="E60" s="7" t="n"/>
      <c r="F60" s="8" t="n"/>
      <c r="G60" s="9" t="n"/>
      <c r="H60" s="9" t="n"/>
      <c r="I60" s="9" t="n"/>
      <c r="J60" s="10" t="n"/>
      <c r="K60" s="11" t="n"/>
      <c r="L60" s="12" t="n"/>
      <c r="M60" s="13">
        <f>IF(OR(G60="",H60="",I60=""),"",IFERROR(ROUND(ABS(I60-G60)/ABS(G60-H60),2),""))</f>
        <v/>
      </c>
      <c r="N60" s="7" t="n"/>
      <c r="O60" s="14">
        <f>IF(N60="TP",IF(M60="","",M60),IF(N60="SL",-1,IF(N60="BE",0,"")))</f>
        <v/>
      </c>
      <c r="P60" s="7" t="n"/>
      <c r="Q60" s="8" t="n"/>
      <c r="R60" s="8" t="n"/>
    </row>
    <row r="61" ht="21" customHeight="1">
      <c r="A61" s="5">
        <f>IF(B61="","",ROW()-3)</f>
        <v/>
      </c>
      <c r="B61" s="15" t="n"/>
      <c r="C61" s="16" t="n"/>
      <c r="D61" s="16" t="n"/>
      <c r="E61" s="16" t="n"/>
      <c r="F61" s="17" t="n"/>
      <c r="G61" s="18" t="n"/>
      <c r="H61" s="18" t="n"/>
      <c r="I61" s="18" t="n"/>
      <c r="J61" s="19" t="n"/>
      <c r="K61" s="20" t="n"/>
      <c r="L61" s="21" t="n"/>
      <c r="M61" s="13">
        <f>IF(OR(G61="",H61="",I61=""),"",IFERROR(ROUND(ABS(I61-G61)/ABS(G61-H61),2),""))</f>
        <v/>
      </c>
      <c r="N61" s="16" t="n"/>
      <c r="O61" s="14">
        <f>IF(N61="TP",IF(M61="","",M61),IF(N61="SL",-1,IF(N61="BE",0,"")))</f>
        <v/>
      </c>
      <c r="P61" s="16" t="n"/>
      <c r="Q61" s="17" t="n"/>
      <c r="R61" s="17" t="n"/>
    </row>
    <row r="62" ht="21" customHeight="1">
      <c r="A62" s="5">
        <f>IF(B62="","",ROW()-3)</f>
        <v/>
      </c>
      <c r="B62" s="6" t="n"/>
      <c r="C62" s="7" t="n"/>
      <c r="D62" s="7" t="n"/>
      <c r="E62" s="7" t="n"/>
      <c r="F62" s="8" t="n"/>
      <c r="G62" s="9" t="n"/>
      <c r="H62" s="9" t="n"/>
      <c r="I62" s="9" t="n"/>
      <c r="J62" s="10" t="n"/>
      <c r="K62" s="11" t="n"/>
      <c r="L62" s="12" t="n"/>
      <c r="M62" s="13">
        <f>IF(OR(G62="",H62="",I62=""),"",IFERROR(ROUND(ABS(I62-G62)/ABS(G62-H62),2),""))</f>
        <v/>
      </c>
      <c r="N62" s="7" t="n"/>
      <c r="O62" s="14">
        <f>IF(N62="TP",IF(M62="","",M62),IF(N62="SL",-1,IF(N62="BE",0,"")))</f>
        <v/>
      </c>
      <c r="P62" s="7" t="n"/>
      <c r="Q62" s="8" t="n"/>
      <c r="R62" s="8" t="n"/>
    </row>
    <row r="63" ht="21" customHeight="1">
      <c r="A63" s="5">
        <f>IF(B63="","",ROW()-3)</f>
        <v/>
      </c>
      <c r="B63" s="15" t="n"/>
      <c r="C63" s="16" t="n"/>
      <c r="D63" s="16" t="n"/>
      <c r="E63" s="16" t="n"/>
      <c r="F63" s="17" t="n"/>
      <c r="G63" s="18" t="n"/>
      <c r="H63" s="18" t="n"/>
      <c r="I63" s="18" t="n"/>
      <c r="J63" s="19" t="n"/>
      <c r="K63" s="20" t="n"/>
      <c r="L63" s="21" t="n"/>
      <c r="M63" s="13">
        <f>IF(OR(G63="",H63="",I63=""),"",IFERROR(ROUND(ABS(I63-G63)/ABS(G63-H63),2),""))</f>
        <v/>
      </c>
      <c r="N63" s="16" t="n"/>
      <c r="O63" s="14">
        <f>IF(N63="TP",IF(M63="","",M63),IF(N63="SL",-1,IF(N63="BE",0,"")))</f>
        <v/>
      </c>
      <c r="P63" s="16" t="n"/>
      <c r="Q63" s="17" t="n"/>
      <c r="R63" s="17" t="n"/>
    </row>
    <row r="64" ht="21" customHeight="1">
      <c r="A64" s="5">
        <f>IF(B64="","",ROW()-3)</f>
        <v/>
      </c>
      <c r="B64" s="6" t="n"/>
      <c r="C64" s="7" t="n"/>
      <c r="D64" s="7" t="n"/>
      <c r="E64" s="7" t="n"/>
      <c r="F64" s="8" t="n"/>
      <c r="G64" s="9" t="n"/>
      <c r="H64" s="9" t="n"/>
      <c r="I64" s="9" t="n"/>
      <c r="J64" s="10" t="n"/>
      <c r="K64" s="11" t="n"/>
      <c r="L64" s="12" t="n"/>
      <c r="M64" s="13">
        <f>IF(OR(G64="",H64="",I64=""),"",IFERROR(ROUND(ABS(I64-G64)/ABS(G64-H64),2),""))</f>
        <v/>
      </c>
      <c r="N64" s="7" t="n"/>
      <c r="O64" s="14">
        <f>IF(N64="TP",IF(M64="","",M64),IF(N64="SL",-1,IF(N64="BE",0,"")))</f>
        <v/>
      </c>
      <c r="P64" s="7" t="n"/>
      <c r="Q64" s="8" t="n"/>
      <c r="R64" s="8" t="n"/>
    </row>
    <row r="65" ht="21" customHeight="1">
      <c r="A65" s="5">
        <f>IF(B65="","",ROW()-3)</f>
        <v/>
      </c>
      <c r="B65" s="15" t="n"/>
      <c r="C65" s="16" t="n"/>
      <c r="D65" s="16" t="n"/>
      <c r="E65" s="16" t="n"/>
      <c r="F65" s="17" t="n"/>
      <c r="G65" s="18" t="n"/>
      <c r="H65" s="18" t="n"/>
      <c r="I65" s="18" t="n"/>
      <c r="J65" s="19" t="n"/>
      <c r="K65" s="20" t="n"/>
      <c r="L65" s="21" t="n"/>
      <c r="M65" s="13">
        <f>IF(OR(G65="",H65="",I65=""),"",IFERROR(ROUND(ABS(I65-G65)/ABS(G65-H65),2),""))</f>
        <v/>
      </c>
      <c r="N65" s="16" t="n"/>
      <c r="O65" s="14">
        <f>IF(N65="TP",IF(M65="","",M65),IF(N65="SL",-1,IF(N65="BE",0,"")))</f>
        <v/>
      </c>
      <c r="P65" s="16" t="n"/>
      <c r="Q65" s="17" t="n"/>
      <c r="R65" s="17" t="n"/>
    </row>
    <row r="66" ht="21" customHeight="1">
      <c r="A66" s="5">
        <f>IF(B66="","",ROW()-3)</f>
        <v/>
      </c>
      <c r="B66" s="6" t="n"/>
      <c r="C66" s="7" t="n"/>
      <c r="D66" s="7" t="n"/>
      <c r="E66" s="7" t="n"/>
      <c r="F66" s="8" t="n"/>
      <c r="G66" s="9" t="n"/>
      <c r="H66" s="9" t="n"/>
      <c r="I66" s="9" t="n"/>
      <c r="J66" s="10" t="n"/>
      <c r="K66" s="11" t="n"/>
      <c r="L66" s="12" t="n"/>
      <c r="M66" s="13">
        <f>IF(OR(G66="",H66="",I66=""),"",IFERROR(ROUND(ABS(I66-G66)/ABS(G66-H66),2),""))</f>
        <v/>
      </c>
      <c r="N66" s="7" t="n"/>
      <c r="O66" s="14">
        <f>IF(N66="TP",IF(M66="","",M66),IF(N66="SL",-1,IF(N66="BE",0,"")))</f>
        <v/>
      </c>
      <c r="P66" s="7" t="n"/>
      <c r="Q66" s="8" t="n"/>
      <c r="R66" s="8" t="n"/>
    </row>
    <row r="67" ht="21" customHeight="1">
      <c r="A67" s="5">
        <f>IF(B67="","",ROW()-3)</f>
        <v/>
      </c>
      <c r="B67" s="15" t="n"/>
      <c r="C67" s="16" t="n"/>
      <c r="D67" s="16" t="n"/>
      <c r="E67" s="16" t="n"/>
      <c r="F67" s="17" t="n"/>
      <c r="G67" s="18" t="n"/>
      <c r="H67" s="18" t="n"/>
      <c r="I67" s="18" t="n"/>
      <c r="J67" s="19" t="n"/>
      <c r="K67" s="20" t="n"/>
      <c r="L67" s="21" t="n"/>
      <c r="M67" s="13">
        <f>IF(OR(G67="",H67="",I67=""),"",IFERROR(ROUND(ABS(I67-G67)/ABS(G67-H67),2),""))</f>
        <v/>
      </c>
      <c r="N67" s="16" t="n"/>
      <c r="O67" s="14">
        <f>IF(N67="TP",IF(M67="","",M67),IF(N67="SL",-1,IF(N67="BE",0,"")))</f>
        <v/>
      </c>
      <c r="P67" s="16" t="n"/>
      <c r="Q67" s="17" t="n"/>
      <c r="R67" s="17" t="n"/>
    </row>
    <row r="68" ht="21" customHeight="1">
      <c r="A68" s="5">
        <f>IF(B68="","",ROW()-3)</f>
        <v/>
      </c>
      <c r="B68" s="6" t="n"/>
      <c r="C68" s="7" t="n"/>
      <c r="D68" s="7" t="n"/>
      <c r="E68" s="7" t="n"/>
      <c r="F68" s="8" t="n"/>
      <c r="G68" s="9" t="n"/>
      <c r="H68" s="9" t="n"/>
      <c r="I68" s="9" t="n"/>
      <c r="J68" s="10" t="n"/>
      <c r="K68" s="11" t="n"/>
      <c r="L68" s="12" t="n"/>
      <c r="M68" s="13">
        <f>IF(OR(G68="",H68="",I68=""),"",IFERROR(ROUND(ABS(I68-G68)/ABS(G68-H68),2),""))</f>
        <v/>
      </c>
      <c r="N68" s="7" t="n"/>
      <c r="O68" s="14">
        <f>IF(N68="TP",IF(M68="","",M68),IF(N68="SL",-1,IF(N68="BE",0,"")))</f>
        <v/>
      </c>
      <c r="P68" s="7" t="n"/>
      <c r="Q68" s="8" t="n"/>
      <c r="R68" s="8" t="n"/>
    </row>
    <row r="69" ht="21" customHeight="1">
      <c r="A69" s="5">
        <f>IF(B69="","",ROW()-3)</f>
        <v/>
      </c>
      <c r="B69" s="15" t="n"/>
      <c r="C69" s="16" t="n"/>
      <c r="D69" s="16" t="n"/>
      <c r="E69" s="16" t="n"/>
      <c r="F69" s="17" t="n"/>
      <c r="G69" s="18" t="n"/>
      <c r="H69" s="18" t="n"/>
      <c r="I69" s="18" t="n"/>
      <c r="J69" s="19" t="n"/>
      <c r="K69" s="20" t="n"/>
      <c r="L69" s="21" t="n"/>
      <c r="M69" s="13">
        <f>IF(OR(G69="",H69="",I69=""),"",IFERROR(ROUND(ABS(I69-G69)/ABS(G69-H69),2),""))</f>
        <v/>
      </c>
      <c r="N69" s="16" t="n"/>
      <c r="O69" s="14">
        <f>IF(N69="TP",IF(M69="","",M69),IF(N69="SL",-1,IF(N69="BE",0,"")))</f>
        <v/>
      </c>
      <c r="P69" s="16" t="n"/>
      <c r="Q69" s="17" t="n"/>
      <c r="R69" s="17" t="n"/>
    </row>
    <row r="70" ht="21" customHeight="1">
      <c r="A70" s="5">
        <f>IF(B70="","",ROW()-3)</f>
        <v/>
      </c>
      <c r="B70" s="6" t="n"/>
      <c r="C70" s="7" t="n"/>
      <c r="D70" s="7" t="n"/>
      <c r="E70" s="7" t="n"/>
      <c r="F70" s="8" t="n"/>
      <c r="G70" s="9" t="n"/>
      <c r="H70" s="9" t="n"/>
      <c r="I70" s="9" t="n"/>
      <c r="J70" s="10" t="n"/>
      <c r="K70" s="11" t="n"/>
      <c r="L70" s="12" t="n"/>
      <c r="M70" s="13">
        <f>IF(OR(G70="",H70="",I70=""),"",IFERROR(ROUND(ABS(I70-G70)/ABS(G70-H70),2),""))</f>
        <v/>
      </c>
      <c r="N70" s="7" t="n"/>
      <c r="O70" s="14">
        <f>IF(N70="TP",IF(M70="","",M70),IF(N70="SL",-1,IF(N70="BE",0,"")))</f>
        <v/>
      </c>
      <c r="P70" s="7" t="n"/>
      <c r="Q70" s="8" t="n"/>
      <c r="R70" s="8" t="n"/>
    </row>
    <row r="71" ht="21" customHeight="1">
      <c r="A71" s="5">
        <f>IF(B71="","",ROW()-3)</f>
        <v/>
      </c>
      <c r="B71" s="15" t="n"/>
      <c r="C71" s="16" t="n"/>
      <c r="D71" s="16" t="n"/>
      <c r="E71" s="16" t="n"/>
      <c r="F71" s="17" t="n"/>
      <c r="G71" s="18" t="n"/>
      <c r="H71" s="18" t="n"/>
      <c r="I71" s="18" t="n"/>
      <c r="J71" s="19" t="n"/>
      <c r="K71" s="20" t="n"/>
      <c r="L71" s="21" t="n"/>
      <c r="M71" s="13">
        <f>IF(OR(G71="",H71="",I71=""),"",IFERROR(ROUND(ABS(I71-G71)/ABS(G71-H71),2),""))</f>
        <v/>
      </c>
      <c r="N71" s="16" t="n"/>
      <c r="O71" s="14">
        <f>IF(N71="TP",IF(M71="","",M71),IF(N71="SL",-1,IF(N71="BE",0,"")))</f>
        <v/>
      </c>
      <c r="P71" s="16" t="n"/>
      <c r="Q71" s="17" t="n"/>
      <c r="R71" s="17" t="n"/>
    </row>
    <row r="72" ht="21" customHeight="1">
      <c r="A72" s="5">
        <f>IF(B72="","",ROW()-3)</f>
        <v/>
      </c>
      <c r="B72" s="6" t="n"/>
      <c r="C72" s="7" t="n"/>
      <c r="D72" s="7" t="n"/>
      <c r="E72" s="7" t="n"/>
      <c r="F72" s="8" t="n"/>
      <c r="G72" s="9" t="n"/>
      <c r="H72" s="9" t="n"/>
      <c r="I72" s="9" t="n"/>
      <c r="J72" s="10" t="n"/>
      <c r="K72" s="11" t="n"/>
      <c r="L72" s="12" t="n"/>
      <c r="M72" s="13">
        <f>IF(OR(G72="",H72="",I72=""),"",IFERROR(ROUND(ABS(I72-G72)/ABS(G72-H72),2),""))</f>
        <v/>
      </c>
      <c r="N72" s="7" t="n"/>
      <c r="O72" s="14">
        <f>IF(N72="TP",IF(M72="","",M72),IF(N72="SL",-1,IF(N72="BE",0,"")))</f>
        <v/>
      </c>
      <c r="P72" s="7" t="n"/>
      <c r="Q72" s="8" t="n"/>
      <c r="R72" s="8" t="n"/>
    </row>
    <row r="73" ht="21" customHeight="1">
      <c r="A73" s="5">
        <f>IF(B73="","",ROW()-3)</f>
        <v/>
      </c>
      <c r="B73" s="15" t="n"/>
      <c r="C73" s="16" t="n"/>
      <c r="D73" s="16" t="n"/>
      <c r="E73" s="16" t="n"/>
      <c r="F73" s="17" t="n"/>
      <c r="G73" s="18" t="n"/>
      <c r="H73" s="18" t="n"/>
      <c r="I73" s="18" t="n"/>
      <c r="J73" s="19" t="n"/>
      <c r="K73" s="20" t="n"/>
      <c r="L73" s="21" t="n"/>
      <c r="M73" s="13">
        <f>IF(OR(G73="",H73="",I73=""),"",IFERROR(ROUND(ABS(I73-G73)/ABS(G73-H73),2),""))</f>
        <v/>
      </c>
      <c r="N73" s="16" t="n"/>
      <c r="O73" s="14">
        <f>IF(N73="TP",IF(M73="","",M73),IF(N73="SL",-1,IF(N73="BE",0,"")))</f>
        <v/>
      </c>
      <c r="P73" s="16" t="n"/>
      <c r="Q73" s="17" t="n"/>
      <c r="R73" s="17" t="n"/>
    </row>
    <row r="74" ht="21" customHeight="1">
      <c r="A74" s="5">
        <f>IF(B74="","",ROW()-3)</f>
        <v/>
      </c>
      <c r="B74" s="6" t="n"/>
      <c r="C74" s="7" t="n"/>
      <c r="D74" s="7" t="n"/>
      <c r="E74" s="7" t="n"/>
      <c r="F74" s="8" t="n"/>
      <c r="G74" s="9" t="n"/>
      <c r="H74" s="9" t="n"/>
      <c r="I74" s="9" t="n"/>
      <c r="J74" s="10" t="n"/>
      <c r="K74" s="11" t="n"/>
      <c r="L74" s="12" t="n"/>
      <c r="M74" s="13">
        <f>IF(OR(G74="",H74="",I74=""),"",IFERROR(ROUND(ABS(I74-G74)/ABS(G74-H74),2),""))</f>
        <v/>
      </c>
      <c r="N74" s="7" t="n"/>
      <c r="O74" s="14">
        <f>IF(N74="TP",IF(M74="","",M74),IF(N74="SL",-1,IF(N74="BE",0,"")))</f>
        <v/>
      </c>
      <c r="P74" s="7" t="n"/>
      <c r="Q74" s="8" t="n"/>
      <c r="R74" s="8" t="n"/>
    </row>
    <row r="75" ht="21" customHeight="1">
      <c r="A75" s="5">
        <f>IF(B75="","",ROW()-3)</f>
        <v/>
      </c>
      <c r="B75" s="15" t="n"/>
      <c r="C75" s="16" t="n"/>
      <c r="D75" s="16" t="n"/>
      <c r="E75" s="16" t="n"/>
      <c r="F75" s="17" t="n"/>
      <c r="G75" s="18" t="n"/>
      <c r="H75" s="18" t="n"/>
      <c r="I75" s="18" t="n"/>
      <c r="J75" s="19" t="n"/>
      <c r="K75" s="20" t="n"/>
      <c r="L75" s="21" t="n"/>
      <c r="M75" s="13">
        <f>IF(OR(G75="",H75="",I75=""),"",IFERROR(ROUND(ABS(I75-G75)/ABS(G75-H75),2),""))</f>
        <v/>
      </c>
      <c r="N75" s="16" t="n"/>
      <c r="O75" s="14">
        <f>IF(N75="TP",IF(M75="","",M75),IF(N75="SL",-1,IF(N75="BE",0,"")))</f>
        <v/>
      </c>
      <c r="P75" s="16" t="n"/>
      <c r="Q75" s="17" t="n"/>
      <c r="R75" s="17" t="n"/>
    </row>
    <row r="76" ht="21" customHeight="1">
      <c r="A76" s="5">
        <f>IF(B76="","",ROW()-3)</f>
        <v/>
      </c>
      <c r="B76" s="6" t="n"/>
      <c r="C76" s="7" t="n"/>
      <c r="D76" s="7" t="n"/>
      <c r="E76" s="7" t="n"/>
      <c r="F76" s="8" t="n"/>
      <c r="G76" s="9" t="n"/>
      <c r="H76" s="9" t="n"/>
      <c r="I76" s="9" t="n"/>
      <c r="J76" s="10" t="n"/>
      <c r="K76" s="11" t="n"/>
      <c r="L76" s="12" t="n"/>
      <c r="M76" s="13">
        <f>IF(OR(G76="",H76="",I76=""),"",IFERROR(ROUND(ABS(I76-G76)/ABS(G76-H76),2),""))</f>
        <v/>
      </c>
      <c r="N76" s="7" t="n"/>
      <c r="O76" s="14">
        <f>IF(N76="TP",IF(M76="","",M76),IF(N76="SL",-1,IF(N76="BE",0,"")))</f>
        <v/>
      </c>
      <c r="P76" s="7" t="n"/>
      <c r="Q76" s="8" t="n"/>
      <c r="R76" s="8" t="n"/>
    </row>
    <row r="77" ht="21" customHeight="1">
      <c r="A77" s="5">
        <f>IF(B77="","",ROW()-3)</f>
        <v/>
      </c>
      <c r="B77" s="15" t="n"/>
      <c r="C77" s="16" t="n"/>
      <c r="D77" s="16" t="n"/>
      <c r="E77" s="16" t="n"/>
      <c r="F77" s="17" t="n"/>
      <c r="G77" s="18" t="n"/>
      <c r="H77" s="18" t="n"/>
      <c r="I77" s="18" t="n"/>
      <c r="J77" s="19" t="n"/>
      <c r="K77" s="20" t="n"/>
      <c r="L77" s="21" t="n"/>
      <c r="M77" s="13">
        <f>IF(OR(G77="",H77="",I77=""),"",IFERROR(ROUND(ABS(I77-G77)/ABS(G77-H77),2),""))</f>
        <v/>
      </c>
      <c r="N77" s="16" t="n"/>
      <c r="O77" s="14">
        <f>IF(N77="TP",IF(M77="","",M77),IF(N77="SL",-1,IF(N77="BE",0,"")))</f>
        <v/>
      </c>
      <c r="P77" s="16" t="n"/>
      <c r="Q77" s="17" t="n"/>
      <c r="R77" s="17" t="n"/>
    </row>
    <row r="78" ht="21" customHeight="1">
      <c r="A78" s="5">
        <f>IF(B78="","",ROW()-3)</f>
        <v/>
      </c>
      <c r="B78" s="6" t="n"/>
      <c r="C78" s="7" t="n"/>
      <c r="D78" s="7" t="n"/>
      <c r="E78" s="7" t="n"/>
      <c r="F78" s="8" t="n"/>
      <c r="G78" s="9" t="n"/>
      <c r="H78" s="9" t="n"/>
      <c r="I78" s="9" t="n"/>
      <c r="J78" s="10" t="n"/>
      <c r="K78" s="11" t="n"/>
      <c r="L78" s="12" t="n"/>
      <c r="M78" s="13">
        <f>IF(OR(G78="",H78="",I78=""),"",IFERROR(ROUND(ABS(I78-G78)/ABS(G78-H78),2),""))</f>
        <v/>
      </c>
      <c r="N78" s="7" t="n"/>
      <c r="O78" s="14">
        <f>IF(N78="TP",IF(M78="","",M78),IF(N78="SL",-1,IF(N78="BE",0,"")))</f>
        <v/>
      </c>
      <c r="P78" s="7" t="n"/>
      <c r="Q78" s="8" t="n"/>
      <c r="R78" s="8" t="n"/>
    </row>
    <row r="79" ht="21" customHeight="1">
      <c r="A79" s="5">
        <f>IF(B79="","",ROW()-3)</f>
        <v/>
      </c>
      <c r="B79" s="15" t="n"/>
      <c r="C79" s="16" t="n"/>
      <c r="D79" s="16" t="n"/>
      <c r="E79" s="16" t="n"/>
      <c r="F79" s="17" t="n"/>
      <c r="G79" s="18" t="n"/>
      <c r="H79" s="18" t="n"/>
      <c r="I79" s="18" t="n"/>
      <c r="J79" s="19" t="n"/>
      <c r="K79" s="20" t="n"/>
      <c r="L79" s="21" t="n"/>
      <c r="M79" s="13">
        <f>IF(OR(G79="",H79="",I79=""),"",IFERROR(ROUND(ABS(I79-G79)/ABS(G79-H79),2),""))</f>
        <v/>
      </c>
      <c r="N79" s="16" t="n"/>
      <c r="O79" s="14">
        <f>IF(N79="TP",IF(M79="","",M79),IF(N79="SL",-1,IF(N79="BE",0,"")))</f>
        <v/>
      </c>
      <c r="P79" s="16" t="n"/>
      <c r="Q79" s="17" t="n"/>
      <c r="R79" s="17" t="n"/>
    </row>
    <row r="80" ht="21" customHeight="1">
      <c r="A80" s="5">
        <f>IF(B80="","",ROW()-3)</f>
        <v/>
      </c>
      <c r="B80" s="6" t="n"/>
      <c r="C80" s="7" t="n"/>
      <c r="D80" s="7" t="n"/>
      <c r="E80" s="7" t="n"/>
      <c r="F80" s="8" t="n"/>
      <c r="G80" s="9" t="n"/>
      <c r="H80" s="9" t="n"/>
      <c r="I80" s="9" t="n"/>
      <c r="J80" s="10" t="n"/>
      <c r="K80" s="11" t="n"/>
      <c r="L80" s="12" t="n"/>
      <c r="M80" s="13">
        <f>IF(OR(G80="",H80="",I80=""),"",IFERROR(ROUND(ABS(I80-G80)/ABS(G80-H80),2),""))</f>
        <v/>
      </c>
      <c r="N80" s="7" t="n"/>
      <c r="O80" s="14">
        <f>IF(N80="TP",IF(M80="","",M80),IF(N80="SL",-1,IF(N80="BE",0,"")))</f>
        <v/>
      </c>
      <c r="P80" s="7" t="n"/>
      <c r="Q80" s="8" t="n"/>
      <c r="R80" s="8" t="n"/>
    </row>
    <row r="81" ht="21" customHeight="1">
      <c r="A81" s="5">
        <f>IF(B81="","",ROW()-3)</f>
        <v/>
      </c>
      <c r="B81" s="15" t="n"/>
      <c r="C81" s="16" t="n"/>
      <c r="D81" s="16" t="n"/>
      <c r="E81" s="16" t="n"/>
      <c r="F81" s="17" t="n"/>
      <c r="G81" s="18" t="n"/>
      <c r="H81" s="18" t="n"/>
      <c r="I81" s="18" t="n"/>
      <c r="J81" s="19" t="n"/>
      <c r="K81" s="20" t="n"/>
      <c r="L81" s="21" t="n"/>
      <c r="M81" s="13">
        <f>IF(OR(G81="",H81="",I81=""),"",IFERROR(ROUND(ABS(I81-G81)/ABS(G81-H81),2),""))</f>
        <v/>
      </c>
      <c r="N81" s="16" t="n"/>
      <c r="O81" s="14">
        <f>IF(N81="TP",IF(M81="","",M81),IF(N81="SL",-1,IF(N81="BE",0,"")))</f>
        <v/>
      </c>
      <c r="P81" s="16" t="n"/>
      <c r="Q81" s="17" t="n"/>
      <c r="R81" s="17" t="n"/>
    </row>
    <row r="82" ht="21" customHeight="1">
      <c r="A82" s="5">
        <f>IF(B82="","",ROW()-3)</f>
        <v/>
      </c>
      <c r="B82" s="6" t="n"/>
      <c r="C82" s="7" t="n"/>
      <c r="D82" s="7" t="n"/>
      <c r="E82" s="7" t="n"/>
      <c r="F82" s="8" t="n"/>
      <c r="G82" s="9" t="n"/>
      <c r="H82" s="9" t="n"/>
      <c r="I82" s="9" t="n"/>
      <c r="J82" s="10" t="n"/>
      <c r="K82" s="11" t="n"/>
      <c r="L82" s="12" t="n"/>
      <c r="M82" s="13">
        <f>IF(OR(G82="",H82="",I82=""),"",IFERROR(ROUND(ABS(I82-G82)/ABS(G82-H82),2),""))</f>
        <v/>
      </c>
      <c r="N82" s="7" t="n"/>
      <c r="O82" s="14">
        <f>IF(N82="TP",IF(M82="","",M82),IF(N82="SL",-1,IF(N82="BE",0,"")))</f>
        <v/>
      </c>
      <c r="P82" s="7" t="n"/>
      <c r="Q82" s="8" t="n"/>
      <c r="R82" s="8" t="n"/>
    </row>
    <row r="83" ht="21" customHeight="1">
      <c r="A83" s="5">
        <f>IF(B83="","",ROW()-3)</f>
        <v/>
      </c>
      <c r="B83" s="15" t="n"/>
      <c r="C83" s="16" t="n"/>
      <c r="D83" s="16" t="n"/>
      <c r="E83" s="16" t="n"/>
      <c r="F83" s="17" t="n"/>
      <c r="G83" s="18" t="n"/>
      <c r="H83" s="18" t="n"/>
      <c r="I83" s="18" t="n"/>
      <c r="J83" s="19" t="n"/>
      <c r="K83" s="20" t="n"/>
      <c r="L83" s="21" t="n"/>
      <c r="M83" s="13">
        <f>IF(OR(G83="",H83="",I83=""),"",IFERROR(ROUND(ABS(I83-G83)/ABS(G83-H83),2),""))</f>
        <v/>
      </c>
      <c r="N83" s="16" t="n"/>
      <c r="O83" s="14">
        <f>IF(N83="TP",IF(M83="","",M83),IF(N83="SL",-1,IF(N83="BE",0,"")))</f>
        <v/>
      </c>
      <c r="P83" s="16" t="n"/>
      <c r="Q83" s="17" t="n"/>
      <c r="R83" s="17" t="n"/>
    </row>
    <row r="84" ht="21" customHeight="1">
      <c r="A84" s="5">
        <f>IF(B84="","",ROW()-3)</f>
        <v/>
      </c>
      <c r="B84" s="6" t="n"/>
      <c r="C84" s="7" t="n"/>
      <c r="D84" s="7" t="n"/>
      <c r="E84" s="7" t="n"/>
      <c r="F84" s="8" t="n"/>
      <c r="G84" s="9" t="n"/>
      <c r="H84" s="9" t="n"/>
      <c r="I84" s="9" t="n"/>
      <c r="J84" s="10" t="n"/>
      <c r="K84" s="11" t="n"/>
      <c r="L84" s="12" t="n"/>
      <c r="M84" s="13">
        <f>IF(OR(G84="",H84="",I84=""),"",IFERROR(ROUND(ABS(I84-G84)/ABS(G84-H84),2),""))</f>
        <v/>
      </c>
      <c r="N84" s="7" t="n"/>
      <c r="O84" s="14">
        <f>IF(N84="TP",IF(M84="","",M84),IF(N84="SL",-1,IF(N84="BE",0,"")))</f>
        <v/>
      </c>
      <c r="P84" s="7" t="n"/>
      <c r="Q84" s="8" t="n"/>
      <c r="R84" s="8" t="n"/>
    </row>
    <row r="85" ht="21" customHeight="1">
      <c r="A85" s="5">
        <f>IF(B85="","",ROW()-3)</f>
        <v/>
      </c>
      <c r="B85" s="15" t="n"/>
      <c r="C85" s="16" t="n"/>
      <c r="D85" s="16" t="n"/>
      <c r="E85" s="16" t="n"/>
      <c r="F85" s="17" t="n"/>
      <c r="G85" s="18" t="n"/>
      <c r="H85" s="18" t="n"/>
      <c r="I85" s="18" t="n"/>
      <c r="J85" s="19" t="n"/>
      <c r="K85" s="20" t="n"/>
      <c r="L85" s="21" t="n"/>
      <c r="M85" s="13">
        <f>IF(OR(G85="",H85="",I85=""),"",IFERROR(ROUND(ABS(I85-G85)/ABS(G85-H85),2),""))</f>
        <v/>
      </c>
      <c r="N85" s="16" t="n"/>
      <c r="O85" s="14">
        <f>IF(N85="TP",IF(M85="","",M85),IF(N85="SL",-1,IF(N85="BE",0,"")))</f>
        <v/>
      </c>
      <c r="P85" s="16" t="n"/>
      <c r="Q85" s="17" t="n"/>
      <c r="R85" s="17" t="n"/>
    </row>
    <row r="86" ht="21" customHeight="1">
      <c r="A86" s="5">
        <f>IF(B86="","",ROW()-3)</f>
        <v/>
      </c>
      <c r="B86" s="6" t="n"/>
      <c r="C86" s="7" t="n"/>
      <c r="D86" s="7" t="n"/>
      <c r="E86" s="7" t="n"/>
      <c r="F86" s="8" t="n"/>
      <c r="G86" s="9" t="n"/>
      <c r="H86" s="9" t="n"/>
      <c r="I86" s="9" t="n"/>
      <c r="J86" s="10" t="n"/>
      <c r="K86" s="11" t="n"/>
      <c r="L86" s="12" t="n"/>
      <c r="M86" s="13">
        <f>IF(OR(G86="",H86="",I86=""),"",IFERROR(ROUND(ABS(I86-G86)/ABS(G86-H86),2),""))</f>
        <v/>
      </c>
      <c r="N86" s="7" t="n"/>
      <c r="O86" s="14">
        <f>IF(N86="TP",IF(M86="","",M86),IF(N86="SL",-1,IF(N86="BE",0,"")))</f>
        <v/>
      </c>
      <c r="P86" s="7" t="n"/>
      <c r="Q86" s="8" t="n"/>
      <c r="R86" s="8" t="n"/>
    </row>
    <row r="87" ht="21" customHeight="1">
      <c r="A87" s="5">
        <f>IF(B87="","",ROW()-3)</f>
        <v/>
      </c>
      <c r="B87" s="15" t="n"/>
      <c r="C87" s="16" t="n"/>
      <c r="D87" s="16" t="n"/>
      <c r="E87" s="16" t="n"/>
      <c r="F87" s="17" t="n"/>
      <c r="G87" s="18" t="n"/>
      <c r="H87" s="18" t="n"/>
      <c r="I87" s="18" t="n"/>
      <c r="J87" s="19" t="n"/>
      <c r="K87" s="20" t="n"/>
      <c r="L87" s="21" t="n"/>
      <c r="M87" s="13">
        <f>IF(OR(G87="",H87="",I87=""),"",IFERROR(ROUND(ABS(I87-G87)/ABS(G87-H87),2),""))</f>
        <v/>
      </c>
      <c r="N87" s="16" t="n"/>
      <c r="O87" s="14">
        <f>IF(N87="TP",IF(M87="","",M87),IF(N87="SL",-1,IF(N87="BE",0,"")))</f>
        <v/>
      </c>
      <c r="P87" s="16" t="n"/>
      <c r="Q87" s="17" t="n"/>
      <c r="R87" s="17" t="n"/>
    </row>
    <row r="88" ht="21" customHeight="1">
      <c r="A88" s="5">
        <f>IF(B88="","",ROW()-3)</f>
        <v/>
      </c>
      <c r="B88" s="6" t="n"/>
      <c r="C88" s="7" t="n"/>
      <c r="D88" s="7" t="n"/>
      <c r="E88" s="7" t="n"/>
      <c r="F88" s="8" t="n"/>
      <c r="G88" s="9" t="n"/>
      <c r="H88" s="9" t="n"/>
      <c r="I88" s="9" t="n"/>
      <c r="J88" s="10" t="n"/>
      <c r="K88" s="11" t="n"/>
      <c r="L88" s="12" t="n"/>
      <c r="M88" s="13">
        <f>IF(OR(G88="",H88="",I88=""),"",IFERROR(ROUND(ABS(I88-G88)/ABS(G88-H88),2),""))</f>
        <v/>
      </c>
      <c r="N88" s="7" t="n"/>
      <c r="O88" s="14">
        <f>IF(N88="TP",IF(M88="","",M88),IF(N88="SL",-1,IF(N88="BE",0,"")))</f>
        <v/>
      </c>
      <c r="P88" s="7" t="n"/>
      <c r="Q88" s="8" t="n"/>
      <c r="R88" s="8" t="n"/>
    </row>
    <row r="89" ht="21" customHeight="1">
      <c r="A89" s="5">
        <f>IF(B89="","",ROW()-3)</f>
        <v/>
      </c>
      <c r="B89" s="15" t="n"/>
      <c r="C89" s="16" t="n"/>
      <c r="D89" s="16" t="n"/>
      <c r="E89" s="16" t="n"/>
      <c r="F89" s="17" t="n"/>
      <c r="G89" s="18" t="n"/>
      <c r="H89" s="18" t="n"/>
      <c r="I89" s="18" t="n"/>
      <c r="J89" s="19" t="n"/>
      <c r="K89" s="20" t="n"/>
      <c r="L89" s="21" t="n"/>
      <c r="M89" s="13">
        <f>IF(OR(G89="",H89="",I89=""),"",IFERROR(ROUND(ABS(I89-G89)/ABS(G89-H89),2),""))</f>
        <v/>
      </c>
      <c r="N89" s="16" t="n"/>
      <c r="O89" s="14">
        <f>IF(N89="TP",IF(M89="","",M89),IF(N89="SL",-1,IF(N89="BE",0,"")))</f>
        <v/>
      </c>
      <c r="P89" s="16" t="n"/>
      <c r="Q89" s="17" t="n"/>
      <c r="R89" s="17" t="n"/>
    </row>
    <row r="90" ht="21" customHeight="1">
      <c r="A90" s="5">
        <f>IF(B90="","",ROW()-3)</f>
        <v/>
      </c>
      <c r="B90" s="6" t="n"/>
      <c r="C90" s="7" t="n"/>
      <c r="D90" s="7" t="n"/>
      <c r="E90" s="7" t="n"/>
      <c r="F90" s="8" t="n"/>
      <c r="G90" s="9" t="n"/>
      <c r="H90" s="9" t="n"/>
      <c r="I90" s="9" t="n"/>
      <c r="J90" s="10" t="n"/>
      <c r="K90" s="11" t="n"/>
      <c r="L90" s="12" t="n"/>
      <c r="M90" s="13">
        <f>IF(OR(G90="",H90="",I90=""),"",IFERROR(ROUND(ABS(I90-G90)/ABS(G90-H90),2),""))</f>
        <v/>
      </c>
      <c r="N90" s="7" t="n"/>
      <c r="O90" s="14">
        <f>IF(N90="TP",IF(M90="","",M90),IF(N90="SL",-1,IF(N90="BE",0,"")))</f>
        <v/>
      </c>
      <c r="P90" s="7" t="n"/>
      <c r="Q90" s="8" t="n"/>
      <c r="R90" s="8" t="n"/>
    </row>
    <row r="91" ht="21" customHeight="1">
      <c r="A91" s="5">
        <f>IF(B91="","",ROW()-3)</f>
        <v/>
      </c>
      <c r="B91" s="15" t="n"/>
      <c r="C91" s="16" t="n"/>
      <c r="D91" s="16" t="n"/>
      <c r="E91" s="16" t="n"/>
      <c r="F91" s="17" t="n"/>
      <c r="G91" s="18" t="n"/>
      <c r="H91" s="18" t="n"/>
      <c r="I91" s="18" t="n"/>
      <c r="J91" s="19" t="n"/>
      <c r="K91" s="20" t="n"/>
      <c r="L91" s="21" t="n"/>
      <c r="M91" s="13">
        <f>IF(OR(G91="",H91="",I91=""),"",IFERROR(ROUND(ABS(I91-G91)/ABS(G91-H91),2),""))</f>
        <v/>
      </c>
      <c r="N91" s="16" t="n"/>
      <c r="O91" s="14">
        <f>IF(N91="TP",IF(M91="","",M91),IF(N91="SL",-1,IF(N91="BE",0,"")))</f>
        <v/>
      </c>
      <c r="P91" s="16" t="n"/>
      <c r="Q91" s="17" t="n"/>
      <c r="R91" s="17" t="n"/>
    </row>
    <row r="92" ht="21" customHeight="1">
      <c r="A92" s="5">
        <f>IF(B92="","",ROW()-3)</f>
        <v/>
      </c>
      <c r="B92" s="6" t="n"/>
      <c r="C92" s="7" t="n"/>
      <c r="D92" s="7" t="n"/>
      <c r="E92" s="7" t="n"/>
      <c r="F92" s="8" t="n"/>
      <c r="G92" s="9" t="n"/>
      <c r="H92" s="9" t="n"/>
      <c r="I92" s="9" t="n"/>
      <c r="J92" s="10" t="n"/>
      <c r="K92" s="11" t="n"/>
      <c r="L92" s="12" t="n"/>
      <c r="M92" s="13">
        <f>IF(OR(G92="",H92="",I92=""),"",IFERROR(ROUND(ABS(I92-G92)/ABS(G92-H92),2),""))</f>
        <v/>
      </c>
      <c r="N92" s="7" t="n"/>
      <c r="O92" s="14">
        <f>IF(N92="TP",IF(M92="","",M92),IF(N92="SL",-1,IF(N92="BE",0,"")))</f>
        <v/>
      </c>
      <c r="P92" s="7" t="n"/>
      <c r="Q92" s="8" t="n"/>
      <c r="R92" s="8" t="n"/>
    </row>
    <row r="93" ht="21" customHeight="1">
      <c r="A93" s="5">
        <f>IF(B93="","",ROW()-3)</f>
        <v/>
      </c>
      <c r="B93" s="15" t="n"/>
      <c r="C93" s="16" t="n"/>
      <c r="D93" s="16" t="n"/>
      <c r="E93" s="16" t="n"/>
      <c r="F93" s="17" t="n"/>
      <c r="G93" s="18" t="n"/>
      <c r="H93" s="18" t="n"/>
      <c r="I93" s="18" t="n"/>
      <c r="J93" s="19" t="n"/>
      <c r="K93" s="20" t="n"/>
      <c r="L93" s="21" t="n"/>
      <c r="M93" s="13">
        <f>IF(OR(G93="",H93="",I93=""),"",IFERROR(ROUND(ABS(I93-G93)/ABS(G93-H93),2),""))</f>
        <v/>
      </c>
      <c r="N93" s="16" t="n"/>
      <c r="O93" s="14">
        <f>IF(N93="TP",IF(M93="","",M93),IF(N93="SL",-1,IF(N93="BE",0,"")))</f>
        <v/>
      </c>
      <c r="P93" s="16" t="n"/>
      <c r="Q93" s="17" t="n"/>
      <c r="R93" s="17" t="n"/>
    </row>
    <row r="94" ht="21" customHeight="1">
      <c r="A94" s="5">
        <f>IF(B94="","",ROW()-3)</f>
        <v/>
      </c>
      <c r="B94" s="6" t="n"/>
      <c r="C94" s="7" t="n"/>
      <c r="D94" s="7" t="n"/>
      <c r="E94" s="7" t="n"/>
      <c r="F94" s="8" t="n"/>
      <c r="G94" s="9" t="n"/>
      <c r="H94" s="9" t="n"/>
      <c r="I94" s="9" t="n"/>
      <c r="J94" s="10" t="n"/>
      <c r="K94" s="11" t="n"/>
      <c r="L94" s="12" t="n"/>
      <c r="M94" s="13">
        <f>IF(OR(G94="",H94="",I94=""),"",IFERROR(ROUND(ABS(I94-G94)/ABS(G94-H94),2),""))</f>
        <v/>
      </c>
      <c r="N94" s="7" t="n"/>
      <c r="O94" s="14">
        <f>IF(N94="TP",IF(M94="","",M94),IF(N94="SL",-1,IF(N94="BE",0,"")))</f>
        <v/>
      </c>
      <c r="P94" s="7" t="n"/>
      <c r="Q94" s="8" t="n"/>
      <c r="R94" s="8" t="n"/>
    </row>
    <row r="95" ht="21" customHeight="1">
      <c r="A95" s="5">
        <f>IF(B95="","",ROW()-3)</f>
        <v/>
      </c>
      <c r="B95" s="15" t="n"/>
      <c r="C95" s="16" t="n"/>
      <c r="D95" s="16" t="n"/>
      <c r="E95" s="16" t="n"/>
      <c r="F95" s="17" t="n"/>
      <c r="G95" s="18" t="n"/>
      <c r="H95" s="18" t="n"/>
      <c r="I95" s="18" t="n"/>
      <c r="J95" s="19" t="n"/>
      <c r="K95" s="20" t="n"/>
      <c r="L95" s="21" t="n"/>
      <c r="M95" s="13">
        <f>IF(OR(G95="",H95="",I95=""),"",IFERROR(ROUND(ABS(I95-G95)/ABS(G95-H95),2),""))</f>
        <v/>
      </c>
      <c r="N95" s="16" t="n"/>
      <c r="O95" s="14">
        <f>IF(N95="TP",IF(M95="","",M95),IF(N95="SL",-1,IF(N95="BE",0,"")))</f>
        <v/>
      </c>
      <c r="P95" s="16" t="n"/>
      <c r="Q95" s="17" t="n"/>
      <c r="R95" s="17" t="n"/>
    </row>
    <row r="96" ht="21" customHeight="1">
      <c r="A96" s="5">
        <f>IF(B96="","",ROW()-3)</f>
        <v/>
      </c>
      <c r="B96" s="6" t="n"/>
      <c r="C96" s="7" t="n"/>
      <c r="D96" s="7" t="n"/>
      <c r="E96" s="7" t="n"/>
      <c r="F96" s="8" t="n"/>
      <c r="G96" s="9" t="n"/>
      <c r="H96" s="9" t="n"/>
      <c r="I96" s="9" t="n"/>
      <c r="J96" s="10" t="n"/>
      <c r="K96" s="11" t="n"/>
      <c r="L96" s="12" t="n"/>
      <c r="M96" s="13">
        <f>IF(OR(G96="",H96="",I96=""),"",IFERROR(ROUND(ABS(I96-G96)/ABS(G96-H96),2),""))</f>
        <v/>
      </c>
      <c r="N96" s="7" t="n"/>
      <c r="O96" s="14">
        <f>IF(N96="TP",IF(M96="","",M96),IF(N96="SL",-1,IF(N96="BE",0,"")))</f>
        <v/>
      </c>
      <c r="P96" s="7" t="n"/>
      <c r="Q96" s="8" t="n"/>
      <c r="R96" s="8" t="n"/>
    </row>
    <row r="97" ht="21" customHeight="1">
      <c r="A97" s="5">
        <f>IF(B97="","",ROW()-3)</f>
        <v/>
      </c>
      <c r="B97" s="15" t="n"/>
      <c r="C97" s="16" t="n"/>
      <c r="D97" s="16" t="n"/>
      <c r="E97" s="16" t="n"/>
      <c r="F97" s="17" t="n"/>
      <c r="G97" s="18" t="n"/>
      <c r="H97" s="18" t="n"/>
      <c r="I97" s="18" t="n"/>
      <c r="J97" s="19" t="n"/>
      <c r="K97" s="20" t="n"/>
      <c r="L97" s="21" t="n"/>
      <c r="M97" s="13">
        <f>IF(OR(G97="",H97="",I97=""),"",IFERROR(ROUND(ABS(I97-G97)/ABS(G97-H97),2),""))</f>
        <v/>
      </c>
      <c r="N97" s="16" t="n"/>
      <c r="O97" s="14">
        <f>IF(N97="TP",IF(M97="","",M97),IF(N97="SL",-1,IF(N97="BE",0,"")))</f>
        <v/>
      </c>
      <c r="P97" s="16" t="n"/>
      <c r="Q97" s="17" t="n"/>
      <c r="R97" s="17" t="n"/>
    </row>
    <row r="98" ht="21" customHeight="1">
      <c r="A98" s="5">
        <f>IF(B98="","",ROW()-3)</f>
        <v/>
      </c>
      <c r="B98" s="6" t="n"/>
      <c r="C98" s="7" t="n"/>
      <c r="D98" s="7" t="n"/>
      <c r="E98" s="7" t="n"/>
      <c r="F98" s="8" t="n"/>
      <c r="G98" s="9" t="n"/>
      <c r="H98" s="9" t="n"/>
      <c r="I98" s="9" t="n"/>
      <c r="J98" s="10" t="n"/>
      <c r="K98" s="11" t="n"/>
      <c r="L98" s="12" t="n"/>
      <c r="M98" s="13">
        <f>IF(OR(G98="",H98="",I98=""),"",IFERROR(ROUND(ABS(I98-G98)/ABS(G98-H98),2),""))</f>
        <v/>
      </c>
      <c r="N98" s="7" t="n"/>
      <c r="O98" s="14">
        <f>IF(N98="TP",IF(M98="","",M98),IF(N98="SL",-1,IF(N98="BE",0,"")))</f>
        <v/>
      </c>
      <c r="P98" s="7" t="n"/>
      <c r="Q98" s="8" t="n"/>
      <c r="R98" s="8" t="n"/>
    </row>
    <row r="99" ht="21" customHeight="1">
      <c r="A99" s="5">
        <f>IF(B99="","",ROW()-3)</f>
        <v/>
      </c>
      <c r="B99" s="15" t="n"/>
      <c r="C99" s="16" t="n"/>
      <c r="D99" s="16" t="n"/>
      <c r="E99" s="16" t="n"/>
      <c r="F99" s="17" t="n"/>
      <c r="G99" s="18" t="n"/>
      <c r="H99" s="18" t="n"/>
      <c r="I99" s="18" t="n"/>
      <c r="J99" s="19" t="n"/>
      <c r="K99" s="20" t="n"/>
      <c r="L99" s="21" t="n"/>
      <c r="M99" s="13">
        <f>IF(OR(G99="",H99="",I99=""),"",IFERROR(ROUND(ABS(I99-G99)/ABS(G99-H99),2),""))</f>
        <v/>
      </c>
      <c r="N99" s="16" t="n"/>
      <c r="O99" s="14">
        <f>IF(N99="TP",IF(M99="","",M99),IF(N99="SL",-1,IF(N99="BE",0,"")))</f>
        <v/>
      </c>
      <c r="P99" s="16" t="n"/>
      <c r="Q99" s="17" t="n"/>
      <c r="R99" s="17" t="n"/>
    </row>
    <row r="100" ht="21" customHeight="1">
      <c r="A100" s="5">
        <f>IF(B100="","",ROW()-3)</f>
        <v/>
      </c>
      <c r="B100" s="6" t="n"/>
      <c r="C100" s="7" t="n"/>
      <c r="D100" s="7" t="n"/>
      <c r="E100" s="7" t="n"/>
      <c r="F100" s="8" t="n"/>
      <c r="G100" s="9" t="n"/>
      <c r="H100" s="9" t="n"/>
      <c r="I100" s="9" t="n"/>
      <c r="J100" s="10" t="n"/>
      <c r="K100" s="11" t="n"/>
      <c r="L100" s="12" t="n"/>
      <c r="M100" s="13">
        <f>IF(OR(G100="",H100="",I100=""),"",IFERROR(ROUND(ABS(I100-G100)/ABS(G100-H100),2),""))</f>
        <v/>
      </c>
      <c r="N100" s="7" t="n"/>
      <c r="O100" s="14">
        <f>IF(N100="TP",IF(M100="","",M100),IF(N100="SL",-1,IF(N100="BE",0,"")))</f>
        <v/>
      </c>
      <c r="P100" s="7" t="n"/>
      <c r="Q100" s="8" t="n"/>
      <c r="R100" s="8" t="n"/>
    </row>
    <row r="101" ht="21" customHeight="1">
      <c r="A101" s="5">
        <f>IF(B101="","",ROW()-3)</f>
        <v/>
      </c>
      <c r="B101" s="15" t="n"/>
      <c r="C101" s="16" t="n"/>
      <c r="D101" s="16" t="n"/>
      <c r="E101" s="16" t="n"/>
      <c r="F101" s="17" t="n"/>
      <c r="G101" s="18" t="n"/>
      <c r="H101" s="18" t="n"/>
      <c r="I101" s="18" t="n"/>
      <c r="J101" s="19" t="n"/>
      <c r="K101" s="20" t="n"/>
      <c r="L101" s="21" t="n"/>
      <c r="M101" s="13">
        <f>IF(OR(G101="",H101="",I101=""),"",IFERROR(ROUND(ABS(I101-G101)/ABS(G101-H101),2),""))</f>
        <v/>
      </c>
      <c r="N101" s="16" t="n"/>
      <c r="O101" s="14">
        <f>IF(N101="TP",IF(M101="","",M101),IF(N101="SL",-1,IF(N101="BE",0,"")))</f>
        <v/>
      </c>
      <c r="P101" s="16" t="n"/>
      <c r="Q101" s="17" t="n"/>
      <c r="R101" s="17" t="n"/>
    </row>
    <row r="102" ht="21" customHeight="1">
      <c r="A102" s="5">
        <f>IF(B102="","",ROW()-3)</f>
        <v/>
      </c>
      <c r="B102" s="6" t="n"/>
      <c r="C102" s="7" t="n"/>
      <c r="D102" s="7" t="n"/>
      <c r="E102" s="7" t="n"/>
      <c r="F102" s="8" t="n"/>
      <c r="G102" s="9" t="n"/>
      <c r="H102" s="9" t="n"/>
      <c r="I102" s="9" t="n"/>
      <c r="J102" s="10" t="n"/>
      <c r="K102" s="11" t="n"/>
      <c r="L102" s="12" t="n"/>
      <c r="M102" s="13">
        <f>IF(OR(G102="",H102="",I102=""),"",IFERROR(ROUND(ABS(I102-G102)/ABS(G102-H102),2),""))</f>
        <v/>
      </c>
      <c r="N102" s="7" t="n"/>
      <c r="O102" s="14">
        <f>IF(N102="TP",IF(M102="","",M102),IF(N102="SL",-1,IF(N102="BE",0,"")))</f>
        <v/>
      </c>
      <c r="P102" s="7" t="n"/>
      <c r="Q102" s="8" t="n"/>
      <c r="R102" s="8" t="n"/>
    </row>
    <row r="103" ht="21" customHeight="1">
      <c r="A103" s="5">
        <f>IF(B103="","",ROW()-3)</f>
        <v/>
      </c>
      <c r="B103" s="15" t="n"/>
      <c r="C103" s="16" t="n"/>
      <c r="D103" s="16" t="n"/>
      <c r="E103" s="16" t="n"/>
      <c r="F103" s="17" t="n"/>
      <c r="G103" s="18" t="n"/>
      <c r="H103" s="18" t="n"/>
      <c r="I103" s="18" t="n"/>
      <c r="J103" s="19" t="n"/>
      <c r="K103" s="20" t="n"/>
      <c r="L103" s="21" t="n"/>
      <c r="M103" s="13">
        <f>IF(OR(G103="",H103="",I103=""),"",IFERROR(ROUND(ABS(I103-G103)/ABS(G103-H103),2),""))</f>
        <v/>
      </c>
      <c r="N103" s="16" t="n"/>
      <c r="O103" s="14">
        <f>IF(N103="TP",IF(M103="","",M103),IF(N103="SL",-1,IF(N103="BE",0,"")))</f>
        <v/>
      </c>
      <c r="P103" s="16" t="n"/>
      <c r="Q103" s="17" t="n"/>
      <c r="R103" s="17" t="n"/>
    </row>
  </sheetData>
  <autoFilter ref="A3:R103"/>
  <mergeCells count="2">
    <mergeCell ref="A2:R2"/>
    <mergeCell ref="A1:R1"/>
  </mergeCells>
  <conditionalFormatting sqref="O4:O103">
    <cfRule type="expression" priority="1" dxfId="0">
      <formula>AND(ISNUMBER(O4),O4&gt;0)</formula>
    </cfRule>
    <cfRule type="expression" priority="2" dxfId="1">
      <formula>AND(ISNUMBER(O4),O4&lt;0)</formula>
    </cfRule>
  </conditionalFormatting>
  <conditionalFormatting sqref="P4:P103">
    <cfRule type="cellIs" priority="3" operator="equal" dxfId="2">
      <formula>"Nu"</formula>
    </cfRule>
    <cfRule type="cellIs" priority="4" operator="equal" dxfId="3">
      <formula>"Da"</formula>
    </cfRule>
  </conditionalFormatting>
  <dataValidations count="11">
    <dataValidation sqref="D4:D103" showDropDown="0" showInputMessage="1" showErrorMessage="1" allowBlank="1" errorTitle="Valoare nevalidă" error="Alege o valoare din listă: Buy, Sell." promptTitle="Direcție" prompt="Buy = cumperi, Sell = vinzi." type="list">
      <formula1>"Buy,Sell"</formula1>
    </dataValidation>
    <dataValidation sqref="E4:E103" showDropDown="0" showInputMessage="1" showErrorMessage="1" allowBlank="1" errorTitle="Valoare nevalidă" error="Alege o valoare din listă: Sydney, Tokyo, Londra, New York." promptTitle="Sesiune" prompt="Sesiunea în care ai intrat." type="list">
      <formula1>"Sydney,Tokyo,Londra,New York"</formula1>
    </dataValidation>
    <dataValidation sqref="N4:N103" showDropDown="0" showInputMessage="1" showErrorMessage="1" allowBlank="1" errorTitle="Valoare nevalidă" error="Alege o valoare din listă: TP, SL, BE, Manual." promptTitle="Rezultat" prompt="TP = take profit, SL = stop loss, BE = break-even, Manual = închis de tine (scrie singur Rezultatul în R)." type="list">
      <formula1>"TP,SL,BE,Manual"</formula1>
    </dataValidation>
    <dataValidation sqref="P4:P103" showDropDown="0" showInputMessage="1" showErrorMessage="1" allowBlank="1" errorTitle="Valoare nevalidă" error="Alege o valoare din listă: Da, Nu." promptTitle="Planul" prompt="Ai respectat 100% regulile planului?" type="list">
      <formula1>"Da,Nu"</formula1>
    </dataValidation>
    <dataValidation sqref="B4:B103" showDropDown="0" showInputMessage="1" showErrorMessage="1" allowBlank="1" errorTitle="Valoare nevalidă" error="Introdu o dată validă (ex.: 12.01.2026)." promptTitle="Data" prompt="Ex.: 12.01.2026" type="date" operator="between">
      <formula1>36526</formula1>
      <formula2>73415</formula2>
    </dataValidation>
    <dataValidation sqref="G4:G103" showDropDown="0" showInputMessage="1" showErrorMessage="1" allowBlank="1" errorTitle="Valoare nevalidă" error="Introdu un număr pozitiv." promptTitle="Preț intrare" prompt="Prețul exact din platformă." type="decimal" operator="between">
      <formula1>0</formula1>
      <formula2>1000000</formula2>
    </dataValidation>
    <dataValidation sqref="H4:H103" showDropDown="0" showInputMessage="1" showErrorMessage="1" allowBlank="1" errorTitle="Valoare nevalidă" error="Introdu un număr pozitiv." promptTitle="Stop loss" prompt="Prețul exact din platformă." type="decimal" operator="between">
      <formula1>0</formula1>
      <formula2>1000000</formula2>
    </dataValidation>
    <dataValidation sqref="I4:I103" showDropDown="0" showInputMessage="1" showErrorMessage="1" allowBlank="1" errorTitle="Valoare nevalidă" error="Introdu un număr pozitiv." promptTitle="Take profit" prompt="Prețul exact din platformă." type="decimal" operator="between">
      <formula1>0</formula1>
      <formula2>1000000</formula2>
    </dataValidation>
    <dataValidation sqref="J4:J103" showDropDown="0" showInputMessage="1" showErrorMessage="1" allowBlank="1" errorTitle="Valoare nevalidă" error="Introdu un număr pozitiv (ex.: 0.10)." promptTitle="Lot" prompt="Mărimea poziției (ex.: 0.10)." type="decimal" operator="between">
      <formula1>0</formula1>
      <formula2>1000</formula2>
    </dataValidation>
    <dataValidation sqref="K4:K103" showDropDown="0" showInputMessage="1" showErrorMessage="1" allowBlank="1" errorTitle="Valoare nevalidă" error="Introdu un procent între 0 și 100 (ex.: 1)." promptTitle="Risc %" prompt="Scrie doar numărul: 1 = 1% din cont. Ideal 1–2%." type="decimal" operator="between">
      <formula1>0</formula1>
      <formula2>100</formula2>
    </dataValidation>
    <dataValidation sqref="L4:L103" showDropDown="0" showInputMessage="1" showErrorMessage="1" allowBlank="1" errorTitle="Valoare nevalidă" error="Introdu o sumă pozitivă." promptTitle="Risc în bani" prompt="Suma pierdută dacă se atinge stop loss-ul." type="decimal" operator="between">
      <formula1>0</formula1>
      <formula2>100000000</formula2>
    </dataValidation>
  </dataValidations>
  <pageMargins left="0.4" right="0.4" top="1" bottom="1" header="0.5" footer="0.5"/>
  <pageSetup orientation="landscape" paperSize="9" fitToHeight="0" fitToWidth="1"/>
  <headerFooter>
    <oddHeader/>
    <oddFooter>&amp;CMarius FX — Jurnal de tranzacționare · pagina &amp;P din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 fitToPage="1"/>
  </sheetPr>
  <dimension ref="B2:D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58" customWidth="1" min="4" max="4"/>
  </cols>
  <sheetData>
    <row r="2" ht="32" customHeight="1">
      <c r="B2" s="22" t="inlineStr">
        <is>
          <t>Rezumat — se calculează automat din foaia „Jurnal”</t>
        </is>
      </c>
      <c r="C2" s="2" t="n"/>
      <c r="D2" s="2" t="n"/>
    </row>
    <row r="4" ht="26" customHeight="1">
      <c r="B4" s="23" t="inlineStr">
        <is>
          <t>Indicator</t>
        </is>
      </c>
      <c r="C4" s="24" t="inlineStr">
        <is>
          <t>Valoare</t>
        </is>
      </c>
      <c r="D4" s="23" t="inlineStr">
        <is>
          <t>Cum se calculează</t>
        </is>
      </c>
    </row>
    <row r="5" ht="24" customHeight="1">
      <c r="B5" s="25" t="inlineStr">
        <is>
          <t>Total tranzacții</t>
        </is>
      </c>
      <c r="C5" s="26">
        <f>COUNTIF(Jurnal!$N$4:$N$103,"?*")</f>
        <v/>
      </c>
      <c r="D5" s="27" t="inlineStr">
        <is>
          <t>Rânduri cu „Rezultat” completat.</t>
        </is>
      </c>
    </row>
    <row r="6" ht="24" customHeight="1">
      <c r="B6" s="28" t="inlineStr">
        <is>
          <t>Câștigate</t>
        </is>
      </c>
      <c r="C6" s="29">
        <f>COUNTIF(Jurnal!$O$4:$O$103,"&gt;0")</f>
        <v/>
      </c>
      <c r="D6" s="30" t="inlineStr">
        <is>
          <t>Tranzacții cu Rezultat în R peste 0.</t>
        </is>
      </c>
    </row>
    <row r="7" ht="24" customHeight="1">
      <c r="B7" s="25" t="inlineStr">
        <is>
          <t>Pierdute</t>
        </is>
      </c>
      <c r="C7" s="31">
        <f>COUNTIF(Jurnal!$O$4:$O$103,"&lt;0")</f>
        <v/>
      </c>
      <c r="D7" s="27" t="inlineStr">
        <is>
          <t>Tranzacții cu Rezultat în R sub 0.</t>
        </is>
      </c>
    </row>
    <row r="8" ht="24" customHeight="1">
      <c r="B8" s="28" t="inlineStr">
        <is>
          <t>Break-even</t>
        </is>
      </c>
      <c r="C8" s="29">
        <f>COUNTIF(Jurnal!$N$4:$N$103,"BE")</f>
        <v/>
      </c>
      <c r="D8" s="30" t="inlineStr">
        <is>
          <t>Tranzacții închise la break-even (0R).</t>
        </is>
      </c>
    </row>
    <row r="9" ht="24" customHeight="1">
      <c r="B9" s="25" t="inlineStr">
        <is>
          <t>Rata de câștig %</t>
        </is>
      </c>
      <c r="C9" s="32">
        <f>IF(C5=0,"—",C6/C5)</f>
        <v/>
      </c>
      <c r="D9" s="27" t="inlineStr">
        <is>
          <t>Câștigate ÷ total tranzacții.</t>
        </is>
      </c>
    </row>
    <row r="10" ht="24" customHeight="1">
      <c r="B10" s="28" t="inlineStr">
        <is>
          <t>Total R</t>
        </is>
      </c>
      <c r="C10" s="33">
        <f>SUM(Jurnal!$O$4:$O$103)</f>
        <v/>
      </c>
      <c r="D10" s="30" t="inlineStr">
        <is>
          <t>Suma coloanei „Rezultat în R”.</t>
        </is>
      </c>
    </row>
    <row r="11" ht="24" customHeight="1">
      <c r="B11" s="25" t="inlineStr">
        <is>
          <t>R mediu pe tranzacție</t>
        </is>
      </c>
      <c r="C11" s="34">
        <f>IF(COUNT(Jurnal!$O$4:$O$103)=0,"—",AVERAGE(Jurnal!$O$4:$O$103))</f>
        <v/>
      </c>
      <c r="D11" s="27" t="inlineStr">
        <is>
          <t>Media coloanei „Rezultat în R”.</t>
        </is>
      </c>
    </row>
    <row r="12" ht="24" customHeight="1">
      <c r="B12" s="28" t="inlineStr">
        <is>
          <t>% tranzacții cu planul respectat</t>
        </is>
      </c>
      <c r="C12" s="35">
        <f>IF(COUNTIF(Jurnal!$P$4:$P$103,"Da")+COUNTIF(Jurnal!$P$4:$P$103,"Nu")=0,"—",COUNTIF(Jurnal!$P$4:$P$103,"Da")/(COUNTIF(Jurnal!$P$4:$P$103,"Da")+COUNTIF(Jurnal!$P$4:$P$103,"Nu")))</f>
        <v/>
      </c>
      <c r="D12" s="30" t="inlineStr">
        <is>
          <t>Răspunsuri „Da” ÷ (Da + Nu). Ținta ta: cât mai aproape de 100%.</t>
        </is>
      </c>
    </row>
    <row r="14">
      <c r="B14" s="36" t="inlineStr">
        <is>
          <t>Notă: un rezultat pozitiv pe câteva tranzacții nu garantează nimic. Urmărește mai ales disciplina (% plan respectat) și lecțiile notate. Conținut educațional, nu consultanță financiară.</t>
        </is>
      </c>
    </row>
    <row r="15"/>
  </sheetData>
  <mergeCells count="2">
    <mergeCell ref="B14:D15"/>
    <mergeCell ref="B2:D2"/>
  </mergeCells>
  <conditionalFormatting sqref="C10:C11">
    <cfRule type="cellIs" priority="1" operator="greaterThan" dxfId="0">
      <formula>0</formula>
    </cfRule>
    <cfRule type="cellIs" priority="2" operator="lessThan" dxfId="1">
      <formula>0</formula>
    </cfRule>
  </conditionalFormatting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B2:S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2" customWidth="1" min="3" max="3"/>
    <col width="11" customWidth="1" min="4" max="4"/>
    <col width="10" customWidth="1" min="5" max="5"/>
    <col width="12" customWidth="1" min="6" max="6"/>
    <col width="32" customWidth="1" min="7" max="7"/>
    <col width="12" customWidth="1" min="8" max="8"/>
    <col width="12" customWidth="1" min="9" max="9"/>
    <col width="12" customWidth="1" min="10" max="10"/>
    <col width="8" customWidth="1" min="11" max="11"/>
    <col width="8" customWidth="1" min="12" max="12"/>
    <col width="12" customWidth="1" min="13" max="13"/>
    <col width="11" customWidth="1" min="14" max="14"/>
    <col width="11" customWidth="1" min="15" max="15"/>
    <col width="11" customWidth="1" min="16" max="16"/>
    <col width="12" customWidth="1" min="17" max="17"/>
    <col width="20" customWidth="1" min="18" max="18"/>
    <col width="36" customWidth="1" min="19" max="19"/>
  </cols>
  <sheetData>
    <row r="2" ht="32" customHeight="1">
      <c r="B2" s="22" t="inlineStr">
        <is>
          <t>Cum completezi jurnalul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4" ht="30" customHeight="1">
      <c r="B4" s="37" t="n">
        <v>1</v>
      </c>
      <c r="C4" s="38" t="inlineStr">
        <is>
          <t>Completează câte un rând în foaia „Jurnal” imediat după ce intri în tranzacție (plan) și după ce o închizi (rezultat).</t>
        </is>
      </c>
    </row>
    <row r="5" ht="30" customHeight="1">
      <c r="B5" s="37" t="n">
        <v>2</v>
      </c>
      <c r="C5" s="38" t="inlineStr">
        <is>
          <t>Data, Pereche, Direcție și Sesiune: alege Direcția (Buy/Sell) și Sesiunea din listele derulante.</t>
        </is>
      </c>
    </row>
    <row r="6" ht="30" customHeight="1">
      <c r="B6" s="37" t="n">
        <v>3</v>
      </c>
      <c r="C6" s="38" t="inlineStr">
        <is>
          <t>Setup / motiv intrare: scrie de ce ai intrat (ex.: retest de suport pe H4 + confirmare). Dacă nu poți scrie motivul, nu intra.</t>
        </is>
      </c>
    </row>
    <row r="7" ht="30" customHeight="1">
      <c r="B7" s="37" t="n">
        <v>4</v>
      </c>
      <c r="C7" s="38" t="inlineStr">
        <is>
          <t>Preț intrare, Stop loss, Take profit: copiază prețurile exacte din platformă. „R:R planificat” se calculează singur.</t>
        </is>
      </c>
    </row>
    <row r="8" ht="30" customHeight="1">
      <c r="B8" s="37" t="n">
        <v>5</v>
      </c>
      <c r="C8" s="38" t="inlineStr">
        <is>
          <t>Lot, Risc %, Risc în bani: notează mărimea poziției și cât pierzi dacă se atinge stop loss-ul. La Risc % scrie doar numărul (1 = 1%).</t>
        </is>
      </c>
    </row>
    <row r="9" ht="30" customHeight="1">
      <c r="B9" s="37" t="n">
        <v>6</v>
      </c>
      <c r="C9" s="38" t="inlineStr">
        <is>
          <t>Rezultat: TP, SL, BE sau Manual. „Rezultat în R” se completează automat pentru TP (= R:R planificat), SL (−1R) și BE (0R).</t>
        </is>
      </c>
    </row>
    <row r="10" ht="30" customHeight="1">
      <c r="B10" s="37" t="n">
        <v>7</v>
      </c>
      <c r="C10" s="38" t="inlineStr">
        <is>
          <t>Dacă ai închis manual, scrie tu „Rezultat în R” peste formulă (ex.: 0,6 sau −0,4).</t>
        </is>
      </c>
    </row>
    <row r="11" ht="30" customHeight="1">
      <c r="B11" s="37" t="n">
        <v>8</v>
      </c>
      <c r="C11" s="38" t="inlineStr">
        <is>
          <t>Am respectat planul? Răspunde sincer cu Da sau Nu — este cel mai important indicator din jurnal.</t>
        </is>
      </c>
    </row>
    <row r="12" ht="30" customHeight="1">
      <c r="B12" s="37" t="n">
        <v>9</v>
      </c>
      <c r="C12" s="38" t="inlineStr">
        <is>
          <t>Emoții și Lecție: ce ai simțit (calm, grabă, frică, FOMO) și ce faci diferit data viitoare.</t>
        </is>
      </c>
    </row>
    <row r="13" ht="30" customHeight="1">
      <c r="B13" s="37" t="n">
        <v>10</v>
      </c>
      <c r="C13" s="38" t="inlineStr">
        <is>
          <t>La finalul săptămânii, deschide foaia „Rezumat” și recitește lecțiile. Caută greșelile care se repetă.</t>
        </is>
      </c>
    </row>
    <row r="15" ht="26" customHeight="1">
      <c r="B15" s="39" t="inlineStr">
        <is>
          <t>Exemplu — date fictive pentru demonstrație (nu este o tranzacție reală)</t>
        </is>
      </c>
    </row>
    <row r="16" ht="36" customHeight="1">
      <c r="B16" s="40" t="inlineStr">
        <is>
          <t>Nr.</t>
        </is>
      </c>
      <c r="C16" s="40" t="inlineStr">
        <is>
          <t>Data</t>
        </is>
      </c>
      <c r="D16" s="40" t="inlineStr">
        <is>
          <t>Pereche</t>
        </is>
      </c>
      <c r="E16" s="40" t="inlineStr">
        <is>
          <t>Direcție</t>
        </is>
      </c>
      <c r="F16" s="40" t="inlineStr">
        <is>
          <t>Sesiune</t>
        </is>
      </c>
      <c r="G16" s="40" t="inlineStr">
        <is>
          <t>Setup / motiv intrare</t>
        </is>
      </c>
      <c r="H16" s="40" t="inlineStr">
        <is>
          <t>Preț intrare</t>
        </is>
      </c>
      <c r="I16" s="40" t="inlineStr">
        <is>
          <t>Stop loss</t>
        </is>
      </c>
      <c r="J16" s="40" t="inlineStr">
        <is>
          <t>Take profit</t>
        </is>
      </c>
      <c r="K16" s="40" t="inlineStr">
        <is>
          <t>Lot</t>
        </is>
      </c>
      <c r="L16" s="40" t="inlineStr">
        <is>
          <t>Risc %</t>
        </is>
      </c>
      <c r="M16" s="40" t="inlineStr">
        <is>
          <t>Risc în bani</t>
        </is>
      </c>
      <c r="N16" s="40" t="inlineStr">
        <is>
          <t>R:R planificat</t>
        </is>
      </c>
      <c r="O16" s="40" t="inlineStr">
        <is>
          <t>Rezultat</t>
        </is>
      </c>
      <c r="P16" s="40" t="inlineStr">
        <is>
          <t>Rezultat în R</t>
        </is>
      </c>
      <c r="Q16" s="40" t="inlineStr">
        <is>
          <t>Am respectat planul?</t>
        </is>
      </c>
      <c r="R16" s="40" t="inlineStr">
        <is>
          <t>Emoții</t>
        </is>
      </c>
      <c r="S16" s="40" t="inlineStr">
        <is>
          <t>Lecție / ce îmbunătățesc</t>
        </is>
      </c>
    </row>
    <row r="17" ht="46" customHeight="1">
      <c r="B17" s="41" t="n">
        <v>1</v>
      </c>
      <c r="C17" s="42" t="n">
        <v>46034</v>
      </c>
      <c r="D17" s="43" t="inlineStr">
        <is>
          <t>EURUSD</t>
        </is>
      </c>
      <c r="E17" s="43" t="inlineStr">
        <is>
          <t>Buy</t>
        </is>
      </c>
      <c r="F17" s="43" t="inlineStr">
        <is>
          <t>Londra</t>
        </is>
      </c>
      <c r="G17" s="44" t="inlineStr">
        <is>
          <t>Retest suport H4 + pin bar de confirmare</t>
        </is>
      </c>
      <c r="H17" s="45" t="n">
        <v>1.085</v>
      </c>
      <c r="I17" s="45" t="n">
        <v>1.083</v>
      </c>
      <c r="J17" s="45" t="n">
        <v>1.089</v>
      </c>
      <c r="K17" s="46" t="n">
        <v>0.1</v>
      </c>
      <c r="L17" s="47" t="n">
        <v>1</v>
      </c>
      <c r="M17" s="48" t="n">
        <v>20</v>
      </c>
      <c r="N17" s="49">
        <f>ROUND(ABS(J17-H17)/ABS(H17-I17),2)</f>
        <v/>
      </c>
      <c r="O17" s="43" t="inlineStr">
        <is>
          <t>TP</t>
        </is>
      </c>
      <c r="P17" s="50">
        <f>N17</f>
        <v/>
      </c>
      <c r="Q17" s="43" t="inlineStr">
        <is>
          <t>Da</t>
        </is>
      </c>
      <c r="R17" s="44" t="inlineStr">
        <is>
          <t>Calm, am avut răbdare</t>
        </is>
      </c>
      <c r="S17" s="44" t="inlineStr">
        <is>
          <t>Am așteptat confirmarea, nu am intrat devreme. Păstrez regula.</t>
        </is>
      </c>
    </row>
    <row r="19" ht="30" customHeight="1">
      <c r="B19" s="51" t="inlineStr">
        <is>
          <t>În exemplu: stop loss la 20 de pipși și take profit la 40 de pipși → R:R 1:2. Riscul este 1% din cont; tranzacția a atins TP → +2R. Valorile sunt inventate, doar pentru a arăta cum se completează.</t>
        </is>
      </c>
    </row>
  </sheetData>
  <mergeCells count="13">
    <mergeCell ref="C4:J4"/>
    <mergeCell ref="C12:J12"/>
    <mergeCell ref="B15:S15"/>
    <mergeCell ref="C7:J7"/>
    <mergeCell ref="B19:S19"/>
    <mergeCell ref="C11:J11"/>
    <mergeCell ref="C6:J6"/>
    <mergeCell ref="C10:J10"/>
    <mergeCell ref="C8:J8"/>
    <mergeCell ref="C5:J5"/>
    <mergeCell ref="C13:J13"/>
    <mergeCell ref="B2:J2"/>
    <mergeCell ref="C9:J9"/>
  </mergeCells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Marius FX</dc:creator>
  <dc:title xmlns:dc="http://purl.org/dc/elements/1.1/">Jurnal de tranzacționare — Marius FX</dc:title>
  <dc:subject xmlns:dc="http://purl.org/dc/elements/1.1/">Șablon educațional de jurnal de tranzacționare</dc:subject>
  <dcterms:created xmlns:dcterms="http://purl.org/dc/terms/" xmlns:xsi="http://www.w3.org/2001/XMLSchema-instance" xsi:type="dcterms:W3CDTF">2026-10-05T07:27:58Z</dcterms:created>
  <dcterms:modified xmlns:dcterms="http://purl.org/dc/terms/" xmlns:xsi="http://www.w3.org/2001/XMLSchema-instance" xsi:type="dcterms:W3CDTF">2026-10-05T07:27:58Z</dcterms:modified>
</cp:coreProperties>
</file>